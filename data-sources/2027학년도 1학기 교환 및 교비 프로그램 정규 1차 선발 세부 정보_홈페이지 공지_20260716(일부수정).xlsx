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user\Desktop\27-1 파견\2. 27-1 교환교비\1차\"/>
    </mc:Choice>
  </mc:AlternateContent>
  <xr:revisionPtr revIDLastSave="0" documentId="13_ncr:1_{627D9BCB-20C6-4AB5-9C4C-77F8270C3E42}" xr6:coauthVersionLast="36" xr6:coauthVersionMax="47" xr10:uidLastSave="{00000000-0000-0000-0000-000000000000}"/>
  <bookViews>
    <workbookView xWindow="-120" yWindow="-120" windowWidth="29040" windowHeight="15720" activeTab="1" xr2:uid="{8F557BCE-451F-4B73-B6F3-0E468FC5FEBF}"/>
  </bookViews>
  <sheets>
    <sheet name="지원 전 유의사항" sheetId="4" r:id="rId1"/>
    <sheet name="27-1학기(정규 1차)" sheetId="6" r:id="rId2"/>
  </sheets>
  <definedNames>
    <definedName name="_xlnm._FilterDatabase" localSheetId="1" hidden="1">'27-1학기(정규 1차)'!$A$5:$Q$134</definedName>
    <definedName name="_xlnm.Print_Titles" localSheetId="1">'27-1학기(정규 1차)'!$4:$4</definedName>
  </definedNames>
  <calcPr calcId="19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G5" i="6" l="1"/>
  <c r="K5" i="6"/>
  <c r="B7" i="6"/>
  <c r="B8" i="6"/>
  <c r="B9" i="6"/>
  <c r="B10" i="6"/>
  <c r="B11" i="6"/>
  <c r="B12" i="6"/>
  <c r="B13" i="6"/>
  <c r="B14" i="6"/>
  <c r="B15" i="6"/>
  <c r="B16" i="6"/>
  <c r="B17" i="6"/>
  <c r="B18" i="6"/>
  <c r="B19" i="6"/>
  <c r="B20" i="6"/>
  <c r="B21" i="6"/>
  <c r="B22" i="6"/>
  <c r="B23" i="6"/>
  <c r="B24" i="6"/>
  <c r="B25" i="6"/>
  <c r="B26" i="6"/>
  <c r="B27" i="6"/>
  <c r="B28" i="6"/>
  <c r="B29" i="6"/>
  <c r="B30" i="6"/>
  <c r="B31" i="6"/>
  <c r="B32" i="6"/>
  <c r="B33" i="6"/>
  <c r="B34" i="6"/>
  <c r="B35" i="6"/>
  <c r="B36" i="6"/>
  <c r="B37" i="6"/>
  <c r="B38" i="6"/>
  <c r="B39" i="6"/>
  <c r="B40" i="6"/>
  <c r="B41" i="6"/>
  <c r="B42" i="6"/>
  <c r="B43" i="6"/>
  <c r="B44" i="6"/>
  <c r="B45" i="6"/>
  <c r="B46" i="6"/>
  <c r="B47" i="6"/>
  <c r="B48" i="6"/>
  <c r="B49" i="6"/>
  <c r="B50" i="6"/>
  <c r="B51" i="6"/>
  <c r="B52" i="6"/>
  <c r="B53" i="6"/>
  <c r="B54" i="6"/>
  <c r="B55" i="6"/>
  <c r="B56" i="6"/>
  <c r="B57" i="6"/>
  <c r="B58" i="6"/>
  <c r="B59" i="6"/>
  <c r="B60" i="6"/>
  <c r="B61" i="6"/>
  <c r="B62" i="6"/>
  <c r="B63" i="6"/>
  <c r="B64" i="6"/>
  <c r="B65" i="6"/>
  <c r="B66" i="6"/>
  <c r="B67" i="6"/>
  <c r="B68" i="6"/>
  <c r="B69" i="6"/>
  <c r="B70" i="6"/>
  <c r="B71" i="6"/>
  <c r="B72" i="6"/>
  <c r="B73" i="6"/>
  <c r="B74" i="6"/>
  <c r="B75" i="6"/>
  <c r="B76" i="6"/>
  <c r="B77" i="6"/>
  <c r="B78" i="6"/>
  <c r="B79" i="6"/>
  <c r="B80" i="6"/>
  <c r="B81" i="6"/>
  <c r="B82" i="6"/>
  <c r="B83" i="6"/>
  <c r="B84" i="6"/>
  <c r="B85" i="6"/>
  <c r="B86" i="6"/>
  <c r="B87" i="6"/>
  <c r="B88" i="6"/>
  <c r="B89" i="6"/>
  <c r="B90" i="6"/>
  <c r="B91" i="6"/>
  <c r="B92" i="6"/>
  <c r="B93" i="6"/>
  <c r="B94" i="6"/>
  <c r="B95" i="6"/>
  <c r="B96" i="6"/>
  <c r="B97" i="6"/>
  <c r="B98" i="6"/>
  <c r="B99" i="6"/>
  <c r="B100" i="6"/>
  <c r="B101" i="6"/>
  <c r="B102" i="6"/>
  <c r="B103" i="6"/>
  <c r="B104" i="6"/>
  <c r="B105" i="6"/>
  <c r="B106" i="6"/>
  <c r="B107" i="6"/>
  <c r="B108" i="6"/>
  <c r="B109" i="6"/>
  <c r="B110" i="6"/>
  <c r="B111" i="6"/>
  <c r="B112" i="6"/>
  <c r="B113" i="6"/>
  <c r="B114" i="6"/>
  <c r="B115" i="6"/>
  <c r="B116" i="6"/>
  <c r="B117" i="6"/>
  <c r="B118" i="6"/>
  <c r="B119" i="6"/>
  <c r="B120" i="6"/>
  <c r="B121" i="6"/>
  <c r="B122" i="6"/>
  <c r="B123" i="6"/>
  <c r="B124" i="6"/>
  <c r="B125" i="6"/>
  <c r="B126" i="6"/>
  <c r="B127" i="6"/>
  <c r="B128" i="6"/>
  <c r="B129" i="6"/>
  <c r="B130" i="6"/>
  <c r="B131" i="6"/>
  <c r="B132" i="6"/>
  <c r="B133" i="6"/>
  <c r="B134" i="6"/>
  <c r="I104" i="6"/>
  <c r="B6" i="6"/>
</calcChain>
</file>

<file path=xl/sharedStrings.xml><?xml version="1.0" encoding="utf-8"?>
<sst xmlns="http://schemas.openxmlformats.org/spreadsheetml/2006/main" count="1806" uniqueCount="906">
  <si>
    <t>연번</t>
  </si>
  <si>
    <t>구분</t>
  </si>
  <si>
    <t>지역</t>
  </si>
  <si>
    <t>언어</t>
  </si>
  <si>
    <t>파견국</t>
  </si>
  <si>
    <t>대학명(국문)</t>
  </si>
  <si>
    <t>대학명(영문)</t>
  </si>
  <si>
    <t>QS Ranking</t>
  </si>
  <si>
    <t>THE 랭킹</t>
  </si>
  <si>
    <t>선발 학위과정</t>
  </si>
  <si>
    <t>파견대학 학제</t>
  </si>
  <si>
    <r>
      <t xml:space="preserve">파견대학 학사력(학기)
</t>
    </r>
    <r>
      <rPr>
        <b/>
        <sz val="10"/>
        <color rgb="FFFF0000"/>
        <rFont val="맑은 고딕"/>
        <family val="3"/>
        <charset val="129"/>
      </rPr>
      <t>(변동 가능)</t>
    </r>
  </si>
  <si>
    <t>세부사항</t>
  </si>
  <si>
    <t>홈페이지</t>
  </si>
  <si>
    <t>교환</t>
  </si>
  <si>
    <t>비아시아</t>
  </si>
  <si>
    <t>영어</t>
  </si>
  <si>
    <t>네덜란드</t>
  </si>
  <si>
    <t>학부</t>
  </si>
  <si>
    <t>2학기제
(Semester)</t>
  </si>
  <si>
    <t>· 1st : Sep-Jan
· 2nd : Feb-Jun</t>
  </si>
  <si>
    <t>아시아</t>
  </si>
  <si>
    <t>영어 또는 중국어</t>
  </si>
  <si>
    <t>대만</t>
  </si>
  <si>
    <t>학부/대학원</t>
  </si>
  <si>
    <t>영어 또는 독일어</t>
  </si>
  <si>
    <t>독일</t>
  </si>
  <si>
    <t>251-300</t>
  </si>
  <si>
    <t>201-250</t>
  </si>
  <si>
    <t>말레이시아</t>
  </si>
  <si>
    <t>말라야대학</t>
  </si>
  <si>
    <t>University of Malaya</t>
  </si>
  <si>
    <t>· 1st : Oct-Feb
· 2nd : Mar-Jul</t>
  </si>
  <si>
    <t>· Fall : Aug-Dec
· Spring : Jan-May</t>
  </si>
  <si>
    <t>스페인</t>
  </si>
  <si>
    <t>· Autumn : Sep-Jan
· Spring : Jan-May</t>
  </si>
  <si>
    <t>싱가포르</t>
  </si>
  <si>
    <t>· 1st : Sep-Dec
· 2nd : Jan-May</t>
  </si>
  <si>
    <t>영어 또는 일본어</t>
  </si>
  <si>
    <t>일본</t>
  </si>
  <si>
    <t>학부/대학원</t>
    <phoneticPr fontId="8" type="noConversion"/>
  </si>
  <si>
    <r>
      <t xml:space="preserve">중국
</t>
    </r>
    <r>
      <rPr>
        <b/>
        <sz val="10"/>
        <color rgb="FF0000FF"/>
        <rFont val="맑은 고딕"/>
        <family val="3"/>
        <charset val="129"/>
      </rPr>
      <t>(홍콩)</t>
    </r>
  </si>
  <si>
    <t>▣ 지원 전 유의사항(필독)</t>
    <phoneticPr fontId="17" type="noConversion"/>
  </si>
  <si>
    <t>구분</t>
    <phoneticPr fontId="17" type="noConversion"/>
  </si>
  <si>
    <t>상세</t>
    <phoneticPr fontId="17" type="noConversion"/>
  </si>
  <si>
    <t>특별
유의사항</t>
    <phoneticPr fontId="17" type="noConversion"/>
  </si>
  <si>
    <t>★ 전공매칭 ★</t>
    <phoneticPr fontId="17" type="noConversion"/>
  </si>
  <si>
    <t>선발 세부정보의 '자격기준', '세부사항'에 기술된 전공별 지원 제한을 숙지하고 각 대학별 홈페이지에서 지원 가능 여부를 개별 확인하여 최종 지원하여야 합니다.</t>
    <phoneticPr fontId="17" type="noConversion"/>
  </si>
  <si>
    <t>☞ 유사 전공의 전공매칭 여부는 상대교의 소관사항으로, 본교에서 판단하기 어렵습니다.</t>
    <phoneticPr fontId="17" type="noConversion"/>
  </si>
  <si>
    <t>☞ 안내된 자격기준을 충족하더라도, 상대교에서 수용이 불가능한 경우 파견자를 선발하지 않거나 선발을 취소하는 등 최종 파견이 불가할 수 있습니다.</t>
    <phoneticPr fontId="17" type="noConversion"/>
  </si>
  <si>
    <t>어학시험</t>
    <phoneticPr fontId="17" type="noConversion"/>
  </si>
  <si>
    <t>공통</t>
    <phoneticPr fontId="17" type="noConversion"/>
  </si>
  <si>
    <t>세부사항에 명시된 어학기준 외에는 인정하지 않으며, 학생이 해외 대학에 개별적으로 연락하여 별도 허가를 받는 행위를 금합니다.</t>
    <phoneticPr fontId="17" type="noConversion"/>
  </si>
  <si>
    <t>TOEFL</t>
    <phoneticPr fontId="17" type="noConversion"/>
  </si>
  <si>
    <r>
      <t>기관토플(TOEFL ITP) 및 TOEFL My B</t>
    </r>
    <r>
      <rPr>
        <b/>
        <sz val="10"/>
        <rFont val="맑은 고딕"/>
        <family val="3"/>
        <charset val="129"/>
        <scheme val="minor"/>
      </rPr>
      <t xml:space="preserve">est Score, TOEFL IBT (Special) Home Edition은 </t>
    </r>
    <r>
      <rPr>
        <b/>
        <u/>
        <sz val="10"/>
        <rFont val="맑은 고딕"/>
        <family val="3"/>
        <charset val="129"/>
        <scheme val="minor"/>
      </rPr>
      <t>별도 명시된 경우에만</t>
    </r>
    <r>
      <rPr>
        <b/>
        <sz val="10"/>
        <rFont val="맑은 고딕"/>
        <family val="3"/>
        <charset val="129"/>
        <scheme val="minor"/>
      </rPr>
      <t xml:space="preserve"> 인정합니다.</t>
    </r>
    <phoneticPr fontId="17" type="noConversion"/>
  </si>
  <si>
    <t>IELTS</t>
    <phoneticPr fontId="17" type="noConversion"/>
  </si>
  <si>
    <r>
      <t xml:space="preserve">IELTS는 </t>
    </r>
    <r>
      <rPr>
        <b/>
        <u/>
        <sz val="10"/>
        <color theme="1"/>
        <rFont val="맑은 고딕"/>
        <family val="3"/>
        <charset val="129"/>
        <scheme val="minor"/>
      </rPr>
      <t>IELTS Academics</t>
    </r>
    <r>
      <rPr>
        <b/>
        <sz val="10"/>
        <color theme="1"/>
        <rFont val="맑은 고딕"/>
        <family val="3"/>
        <charset val="129"/>
        <scheme val="minor"/>
      </rPr>
      <t xml:space="preserve">를 원칙으로 하며, General 및 One Skill Retake는 </t>
    </r>
    <r>
      <rPr>
        <b/>
        <u/>
        <sz val="10"/>
        <color theme="1"/>
        <rFont val="맑은 고딕"/>
        <family val="3"/>
        <charset val="129"/>
        <scheme val="minor"/>
      </rPr>
      <t>별도 명시된 경우에만</t>
    </r>
    <r>
      <rPr>
        <b/>
        <sz val="10"/>
        <color theme="1"/>
        <rFont val="맑은 고딕"/>
        <family val="3"/>
        <charset val="129"/>
        <scheme val="minor"/>
      </rPr>
      <t xml:space="preserve"> 인정합니다.</t>
    </r>
    <phoneticPr fontId="17" type="noConversion"/>
  </si>
  <si>
    <t>공통
유의사항</t>
    <phoneticPr fontId="17" type="noConversion"/>
  </si>
  <si>
    <t>일반</t>
    <phoneticPr fontId="17" type="noConversion"/>
  </si>
  <si>
    <t>학적</t>
    <phoneticPr fontId="17" type="noConversion"/>
  </si>
  <si>
    <t>교환학생 지원 당시의 재학 여부는 무관합니다.</t>
    <phoneticPr fontId="17" type="noConversion"/>
  </si>
  <si>
    <t>세부정보</t>
    <phoneticPr fontId="17" type="noConversion"/>
  </si>
  <si>
    <t>PNU 해외파견 프로그램 운영지침과 자격기준 및 세부사항을 모두 확인한 후 지원하시기 바라며, 지원마감일까지 자격기준을 반드시 충족하여야 합니다.</t>
    <phoneticPr fontId="17" type="noConversion"/>
  </si>
  <si>
    <t>☞ 반드시 지원 대학의 국제처 홈페이지를 방문하여 교환학생 수강가능 강좌 및 지원가능 학과 등 지원자격 여부를 확인한 후 지원하시기 바랍니다.</t>
    <phoneticPr fontId="17" type="noConversion"/>
  </si>
  <si>
    <t>☞ 해외대학의 상황에 따라 접수기간 내에 선발세부정보가 변경될 수 있습니다.</t>
    <phoneticPr fontId="17" type="noConversion"/>
  </si>
  <si>
    <t>지원서</t>
    <phoneticPr fontId="17" type="noConversion"/>
  </si>
  <si>
    <t>온라인 지원서와 서류 지원서 상의 지망 대학은 반드시 일치해야 하며, 상이할 경우 불합격의 사유가 될 수 있습니다.</t>
    <phoneticPr fontId="17" type="noConversion"/>
  </si>
  <si>
    <r>
      <t>☞ 전공매칭 필수 및 권장 대학의 경우</t>
    </r>
    <r>
      <rPr>
        <b/>
        <sz val="10"/>
        <color theme="1"/>
        <rFont val="맑은 고딕"/>
        <family val="3"/>
        <charset val="129"/>
        <scheme val="minor"/>
      </rPr>
      <t>, 파견대학 소속 희망 학과/전공</t>
    </r>
    <r>
      <rPr>
        <sz val="10"/>
        <color theme="1"/>
        <rFont val="맑은 고딕"/>
        <family val="3"/>
        <charset val="129"/>
        <scheme val="minor"/>
      </rPr>
      <t xml:space="preserve">을 반드시 기재하시기 바랍니다. </t>
    </r>
    <r>
      <rPr>
        <b/>
        <sz val="10"/>
        <color theme="1"/>
        <rFont val="맑은 고딕"/>
        <family val="3"/>
        <charset val="129"/>
        <scheme val="minor"/>
      </rPr>
      <t>(※ 전공매칭 필수가 아닌 대학의 경우, 반드시 기재할 필요는 없음)</t>
    </r>
    <phoneticPr fontId="17" type="noConversion"/>
  </si>
  <si>
    <t>☞ 학업성적 계산식에서 음수가 나오는 경우, 0점으로 표기하시기 바랍니다.</t>
    <phoneticPr fontId="17" type="noConversion"/>
  </si>
  <si>
    <t>파견학기</t>
    <phoneticPr fontId="17" type="noConversion"/>
  </si>
  <si>
    <r>
      <rPr>
        <b/>
        <sz val="10"/>
        <color rgb="FFFF0000"/>
        <rFont val="맑은 고딕"/>
        <family val="3"/>
        <charset val="129"/>
        <scheme val="minor"/>
      </rPr>
      <t>해외파견은 정규 수업연한 내에서 가능</t>
    </r>
    <r>
      <rPr>
        <b/>
        <sz val="10"/>
        <color theme="1"/>
        <rFont val="맑은 고딕"/>
        <family val="3"/>
        <charset val="129"/>
        <scheme val="minor"/>
      </rPr>
      <t xml:space="preserve">하며, 파견 후 본교에서 한 학기 이상 수학해야 합니다. 따라서 마지막 학기 파견자는 9학기 서약서를 제출해야 합니다. </t>
    </r>
    <phoneticPr fontId="17" type="noConversion"/>
  </si>
  <si>
    <t>후순위</t>
    <phoneticPr fontId="17" type="noConversion"/>
  </si>
  <si>
    <t>정규학기 파견 프로그램 참가 경력자는 후순위로 선발하며, 코로나19 펜데믹 시기(2020-1~2023-1) 기참가자는 후순위 선발에서 예외로 합니다.</t>
    <phoneticPr fontId="17" type="noConversion"/>
  </si>
  <si>
    <t>파견취소</t>
    <phoneticPr fontId="17" type="noConversion"/>
  </si>
  <si>
    <t>고의 혹은 허위사실로 지원한 경우, 응시자격이 박탈되며, 합격 후라도 그 결과를 취소하며 동일 학기 타 정규학기 해외파견 프로그램 지원 불가합니다.</t>
    <phoneticPr fontId="17" type="noConversion"/>
  </si>
  <si>
    <t>파견 국가의 입국 제한 조치 및 파견 대학의 수용 거부 등 이유를 불문하고 파견 연기는 불가능합니다.</t>
    <phoneticPr fontId="17" type="noConversion"/>
  </si>
  <si>
    <t>보험</t>
    <phoneticPr fontId="17" type="noConversion"/>
  </si>
  <si>
    <t>각 지역별로 최대 해외 치료비를 보장하는 보험에 의무 가입해야 합니다.</t>
    <phoneticPr fontId="17" type="noConversion"/>
  </si>
  <si>
    <t>외부장학</t>
    <phoneticPr fontId="17" type="noConversion"/>
  </si>
  <si>
    <t>해당 장학기관의 상황에 따라 변동될 수 있으며, 협정장학금 및 외부장학금 수령자는 원칙적으로 PNU 지원금 지급대상에서 제외됩니다.</t>
    <phoneticPr fontId="17" type="noConversion"/>
  </si>
  <si>
    <t>☞ 외부장학금으로 JASSO(일본)와 ASEM-DUO(ASEM 회원국) 등이 있으며, 지원 학기, 국가, 대학별로 선발 관계사항은 변동될 수 있습니다.</t>
    <phoneticPr fontId="17" type="noConversion"/>
  </si>
  <si>
    <t>파견준비</t>
    <phoneticPr fontId="17" type="noConversion"/>
  </si>
  <si>
    <t>최종선발권한은 해외대학에 있으며, 반드시 수학허가서 수령 및 비자 발급이 완료된 후에 항공권 결제하시기 바랍니다.</t>
    <phoneticPr fontId="17" type="noConversion"/>
  </si>
  <si>
    <t>학생 개인의 비자 신청, 항공권 예약 및 현지 숙박 관련사항은 국제처에서 진행하지 않습니다.</t>
    <phoneticPr fontId="17" type="noConversion"/>
  </si>
  <si>
    <t>국가별
유의사항</t>
    <phoneticPr fontId="17" type="noConversion"/>
  </si>
  <si>
    <t>일본</t>
    <phoneticPr fontId="17" type="noConversion"/>
  </si>
  <si>
    <t>일본대학 파견자(학부/대학원 전체)는 학생 비자 유지를 위해 매주 10시간의 수업을 들어야 하는 의무조항이 있으므로, 파견 전 학점인정 및 수학계획에 유의하십시오</t>
    <phoneticPr fontId="17" type="noConversion"/>
  </si>
  <si>
    <t>중국</t>
    <phoneticPr fontId="17" type="noConversion"/>
  </si>
  <si>
    <t>중국 국적 학생의 경우, 중국대학 지원 희망 시 반드시 파견 희망 대학에 지원 가능 여부를 사전 확인하여 주십시오.(지원자격 확인 필수)</t>
    <phoneticPr fontId="17" type="noConversion"/>
  </si>
  <si>
    <t>호주</t>
    <phoneticPr fontId="17" type="noConversion"/>
  </si>
  <si>
    <t>TOEFL IBT 시험방식 변경에 따른 호주 비자법 특별 요건을 아래와 같이 안내드리니, 지원에 참고하시기 바랍니다.</t>
    <phoneticPr fontId="17" type="noConversion"/>
  </si>
  <si>
    <t>☞ (호주정부) 2023. 7. 26. ~ 2024. 5. 4. 시행된 TOEFL IBT 성적은 호주 비자발급 목적으로 사용/제출 불가</t>
    <phoneticPr fontId="17" type="noConversion"/>
  </si>
  <si>
    <t>☞ (관련) https://immi.homeaffairs.gov.au/help-support/meeting-our-requirements/english-language</t>
    <phoneticPr fontId="17" type="noConversion"/>
  </si>
  <si>
    <t>☞ 일반적으로, 교환학생 허가 목적으로는 모든 IBT 성적 인정 가능하나, 불확실성 최소화를 위해 IELTS 등 다른 성적요건을 갖추길 권장</t>
    <phoneticPr fontId="17" type="noConversion"/>
  </si>
  <si>
    <t>레이던대학,
인문대학</t>
  </si>
  <si>
    <t>교환</t>
    <phoneticPr fontId="8" type="noConversion"/>
  </si>
  <si>
    <t>비아시아</t>
    <phoneticPr fontId="8" type="noConversion"/>
  </si>
  <si>
    <t>영어</t>
    <phoneticPr fontId="8" type="noConversion"/>
  </si>
  <si>
    <t>덴마크</t>
    <phoneticPr fontId="8" type="noConversion"/>
  </si>
  <si>
    <t>코펜하겐대학
인문대학</t>
    <phoneticPr fontId="8" type="noConversion"/>
  </si>
  <si>
    <t>University of Copenhagen
The Faculty of Humanities</t>
    <phoneticPr fontId="8" type="noConversion"/>
  </si>
  <si>
    <t>에어랑엔뉘른베르크대학</t>
  </si>
  <si>
    <t>University of Erlangen–Nuremberg
(Friedrich-Alexander-Universität
Erlangen-Nürnberg)</t>
    <phoneticPr fontId="8" type="noConversion"/>
  </si>
  <si>
    <t>나바라대학</t>
  </si>
  <si>
    <t>University of Navarra</t>
  </si>
  <si>
    <t>Nanyang Technological University</t>
  </si>
  <si>
    <t>국립대만대학</t>
  </si>
  <si>
    <t>National Taiwan University</t>
    <phoneticPr fontId="8" type="noConversion"/>
  </si>
  <si>
    <t>영국</t>
  </si>
  <si>
    <t>서식스대학</t>
  </si>
  <si>
    <t>University of Sussex</t>
  </si>
  <si>
    <t>아시아</t>
    <phoneticPr fontId="8" type="noConversion"/>
  </si>
  <si>
    <t>영어 또는 일본어</t>
    <phoneticPr fontId="8" type="noConversion"/>
  </si>
  <si>
    <t>일본</t>
    <phoneticPr fontId="8" type="noConversion"/>
  </si>
  <si>
    <t>홍콩중문대학</t>
  </si>
  <si>
    <t>The Chinese University of Hong Kong</t>
  </si>
  <si>
    <t>호주</t>
  </si>
  <si>
    <t>뉴사우스웨일즈대학</t>
  </si>
  <si>
    <t>호주</t>
    <phoneticPr fontId="8" type="noConversion"/>
  </si>
  <si>
    <t>애들레이드대학</t>
    <phoneticPr fontId="8" type="noConversion"/>
  </si>
  <si>
    <t>Adelaide University</t>
    <phoneticPr fontId="8" type="noConversion"/>
  </si>
  <si>
    <t>영어 또는 중국어</t>
    <phoneticPr fontId="8" type="noConversion"/>
  </si>
  <si>
    <t>중국</t>
    <phoneticPr fontId="8" type="noConversion"/>
  </si>
  <si>
    <t>상해교통대학</t>
    <phoneticPr fontId="8" type="noConversion"/>
  </si>
  <si>
    <r>
      <t>1. 전공기준 : 전공매칭 권장 - 파견대학 소속 희망 전공 관련 학문적 배경(본/복수/부전공) 필요
2. 성적기준 : 평점평균</t>
    </r>
    <r>
      <rPr>
        <sz val="10"/>
        <color rgb="FF44546A"/>
        <rFont val="맑은 고딕"/>
        <family val="3"/>
        <charset val="129"/>
      </rPr>
      <t xml:space="preserve"> 4.5 만점 기</t>
    </r>
    <r>
      <rPr>
        <sz val="10"/>
        <color rgb="FF000000"/>
        <rFont val="맑은 고딕"/>
        <family val="3"/>
        <charset val="129"/>
      </rPr>
      <t>준 3.5 이상
3. 어학기준 :
(영어) TOEFL iBT 90 / IELTS 6.5
4. 특이사항 : 파견시점 기준 3학년 이상(4학기 이상 이수) 학생만 지원 가능</t>
    </r>
    <phoneticPr fontId="8" type="noConversion"/>
  </si>
  <si>
    <t>1. 제한사항
(수강가능분야) Arts, Media and Society/ Dutch Studies/ International Studies/ Linguistics/ Philosophy: Global and Comparative Perspectives/ South and Southeast Asian Studies/ Urban Studies 등
※ (강의정보) 홈페이지 반드시 참고
(수강신청) Students must take a minimum of 15 ECTS per semester in Humanities courses, LUC courses are not available, Psychology accepts a max of 5 ECTS.</t>
    <phoneticPr fontId="8" type="noConversion"/>
  </si>
  <si>
    <t>(대학) https://www.student.universiteitleiden.nl/en/
(인문대학) https://www.universiteitleiden.nl/en/humanities
(교환학생) https://www.universiteitleiden.nl/en/education/admission-and-application/exchange
(강의정보) https://studiegids.universiteitleiden.nl/en/search?for=courses&amp;ec-min=&amp;ec-max=&amp;faculty%5B%5D=2&amp;city%5B%5D=1&amp;city%5B%5D=2&amp;level%5B%5D=100&amp;level%5B%5D=200&amp;level%5B%5D=300&amp;q=exchange&amp;edition=2025-2026
(주거정보) https://www.universiteitleiden.nl/en/education/international-students/prepare-your-stay/housing?_ga=2.256148552.252457389.1568618378-1935923827.1543249493</t>
    <phoneticPr fontId="8" type="noConversion"/>
  </si>
  <si>
    <r>
      <t xml:space="preserve">1. 전공기준 : 전공매칭 필수 - </t>
    </r>
    <r>
      <rPr>
        <u/>
        <sz val="10"/>
        <color rgb="FF000000"/>
        <rFont val="맑은 고딕"/>
        <family val="3"/>
        <charset val="129"/>
      </rPr>
      <t>경영학</t>
    </r>
    <r>
      <rPr>
        <sz val="10"/>
        <color rgb="FF000000"/>
        <rFont val="맑은 고딕"/>
        <family val="3"/>
        <charset val="129"/>
      </rPr>
      <t xml:space="preserve"> 본/복수전공
2. 성적기준 : 교환학생 지원 시점 기준 직전학기 학사경고자 지원 불가
3. 어학기준 :
(영어) TOEFL iBT 80(각 영역 18) / IELTS 6.0(각 영역 5.5 )
＊TOEFL IBT('26.01.21. 이후) overall 4 (R, L, W 4 이상, S 3.5)
4. 특이사항 : 파견시점 기준 3학년 이상(4학기 이상 이수) 학생만 지원 가능</t>
    </r>
    <phoneticPr fontId="8" type="noConversion"/>
  </si>
  <si>
    <t>1. 제한사항
(수강제한) 
As a Bachelor student, you must choose 2 complete course packages -called modules- of 15 EC each, per semester. Each 15 EC module combines several courses and a project, and must be taken as a whole. It’s not possible to drop individual courses from a module.
Restrictions - At least one module must be chosen from the faculty to which you are nominated</t>
    <phoneticPr fontId="8" type="noConversion"/>
  </si>
  <si>
    <t>(대학) https://www.utwente.nl/en/
(단과대학) https://www.utwente.nl/en/bms/
(교환학생) https://www.utwente.nl/en/education/electives/exchange/
(강의정보) 
- https://www.utwente.nl/en/education/electives/exchange/courses/
- https://www.utwente.nl/en/education/electives/exchange/combi-course-research-project/#course-offer-for-bachelors-students</t>
    <phoneticPr fontId="8" type="noConversion"/>
  </si>
  <si>
    <t>학부</t>
    <phoneticPr fontId="8" type="noConversion"/>
  </si>
  <si>
    <t>2학기제
(Semester)</t>
    <phoneticPr fontId="8" type="noConversion"/>
  </si>
  <si>
    <t>· Autumn : Sep-.Jan
· Spring : Feb-July</t>
    <phoneticPr fontId="8" type="noConversion"/>
  </si>
  <si>
    <t>(참고사항)
Final decisions will be made on the basis of the candidates' qualifications (e.g. academic record, language proficiency, ability to benefit from a particular course of study at the host institution).
※ 세부내용은 교환학생 및 단과대학, 강의정보 홈페이지 참고</t>
    <phoneticPr fontId="8" type="noConversion"/>
  </si>
  <si>
    <t>(대학) https://www.ku.dk/en
(단과대학) https://humanities.ku.dk/
(교환학생) https://www.ku.dk/studies/exchange/exchange-students
(강의정보) https://www.ku.dk/studies/exchange/course-information</t>
    <phoneticPr fontId="8" type="noConversion"/>
  </si>
  <si>
    <t>1. 전공기준 : 제한사항 없음
2. 성적기준 : 교환학생 지원 시점 기준 직전학기 학사경고자 지원 불가
3. 어학기준 :
(영어) TOEFL iBT 72 / IELTS 5.5 
(독일어) ZD B2 
  ※ 세부사항 내 (어학기준)의 안내 및 관련 링크를 통해 지원 예정 전공의 세부 어학기준을 반드시 확인 후 지원</t>
    <phoneticPr fontId="8" type="noConversion"/>
  </si>
  <si>
    <t>1. 제한사항
(지원) Student who have completed at least one year of studies at their home institution
(지원제한) Law/ Human Medicine/ Dentistry/ Pharmacy/ biology/ Psychology
(어학기준) 아래 링크를 참고하여, 본인이 지원하는 전공 또는 수강하고자 하는 수업별로 "Language levels required for application"에 명시된 어학요건 충족여부 확인
  ※ (링크) https://www.fau.eu/studying/international-students/students-on-exchange-programs/application-process/#which-language-requirements-do-i-have-to-meet-before-i-can-apply
  ** Faculty of Humanities, Social Sciences, and Theology requires German proficiency.</t>
    <phoneticPr fontId="8" type="noConversion"/>
  </si>
  <si>
    <t>(대학) https://www.fau.eu/
(교환학생) https://www.fau.eu/studying/international-students/students-on-exchange-programs/
(강의정보) www.campus.fau.de
(주거정보) https://www.werkswelt.de/index.php?id=infos-zur-sok-aufnahme&amp;setlang=en</t>
    <phoneticPr fontId="8" type="noConversion"/>
  </si>
  <si>
    <t xml:space="preserve">1. 전공기준 : 제한 없음
2. 성적기준 : 평점평균 4.5 만점 기준 3.5 이상
3. 어학기준 :
(영어) TOEFL iBT 80 / TOEFL ITP 550 / IELTS 6.0 / TOEIC 690 </t>
    <phoneticPr fontId="8" type="noConversion"/>
  </si>
  <si>
    <r>
      <t>1. 제한사항</t>
    </r>
    <r>
      <rPr>
        <b/>
        <sz val="10"/>
        <rFont val="맑은 고딕"/>
        <family val="3"/>
        <charset val="129"/>
      </rPr>
      <t xml:space="preserve">
</t>
    </r>
    <r>
      <rPr>
        <sz val="10"/>
        <rFont val="맑은 고딕"/>
        <family val="3"/>
        <charset val="129"/>
      </rPr>
      <t xml:space="preserve">(지원) Student who have completed at least one year of studies at their home institution
(지원제한) Faculty of Medicine, Faculty of Dentistry
(소속제한) Faculty of Business&amp;Economics의 경우 비교적 높은 경쟁률로 인하여, 해당 학과 소속 또는 수업 수강에 일부 제한이 있을 수 있음
</t>
    </r>
    <r>
      <rPr>
        <sz val="10"/>
        <color theme="1"/>
        <rFont val="맑은 고딕"/>
        <family val="3"/>
        <charset val="129"/>
      </rPr>
      <t>2. 특이사항
(강의언어)
 A. Science-based: 90% English
 B. Social science-based: 80% courses taught in English, 20% in Malay Language or other foreign language*
  * Academy of Malay Studies, Faculty of Arts &amp; Social Sciences (except English subject), Academy of Islamic Studies</t>
    </r>
    <phoneticPr fontId="8" type="noConversion"/>
  </si>
  <si>
    <t>(대학) https://gem.um.edu.my/
(교환학생) https://studyabroad.um.edu.my/inbound-long-term-home
(강의정보) https://studyabroad.um.edu.my/inbound-long-term-module-selection
(주거정보) Due to ongoing renovations, there are no accommodations available for exchange students for Spring 2027 semester</t>
    <phoneticPr fontId="8" type="noConversion"/>
  </si>
  <si>
    <t>1. 전공기준 : 제한사항 없음
2. 성적기준 : 평점평균 4.5 만점 기준 3.1 이상
3. 어학기준 :
(영어) TOEFL iBT 80</t>
    <phoneticPr fontId="8" type="noConversion"/>
  </si>
  <si>
    <r>
      <t xml:space="preserve">1. 제한사항
(가능 전공) Engineering/ Law&amp; International Relations/ Humanities/ Architecture and Design
(수강제한) Students must be enrolled full time (minimum 24 ECTS)
</t>
    </r>
    <r>
      <rPr>
        <sz val="10"/>
        <color rgb="FFFF0000"/>
        <rFont val="맑은 고딕"/>
        <family val="3"/>
        <charset val="129"/>
      </rPr>
      <t>(연속파견 제한) 파견대학 규정에 따라, 동일 학년도(Academic Year) 내에서만 재지원(=재선발=파견 연장) 가능</t>
    </r>
    <r>
      <rPr>
        <sz val="10"/>
        <color rgb="FF000000"/>
        <rFont val="맑은 고딕"/>
        <family val="3"/>
        <charset val="129"/>
      </rPr>
      <t xml:space="preserve">
</t>
    </r>
    <r>
      <rPr>
        <sz val="10"/>
        <color rgb="FFFF0000"/>
        <rFont val="맑은 고딕"/>
        <family val="3"/>
        <charset val="129"/>
      </rPr>
      <t>※  본교 기준 2학기에 최초 파견된 학생만 다음 학기(1학기)에 동일대학 재지원(파견 연장) 가능</t>
    </r>
    <phoneticPr fontId="8" type="noConversion"/>
  </si>
  <si>
    <t>(대학) http://www.unav.edu/en/home
(교환학생) https://www.unav.edu/estudiantes/programas-de-intercambio/incoming
(영어강의) https://www.unav.edu/estudiantes/programas-de-intercambio/incoming#courses</t>
    <phoneticPr fontId="8" type="noConversion"/>
  </si>
  <si>
    <t xml:space="preserve">1. 전공기준 : 전공매칭 필수 - 파견대학 소속 희망 전공 관련 학문적 배경(본/복수/부전공) 필요
2. 성적기준 : 평점평균 4.5 만점 기준 3.0 이상
3. 어학기준 :
(영어) TOEFL iBT 90 ('26.01.21.이후, overall 4.5 (S 영역 4.5)) / IELTS 6.0(W 영역 6) 
</t>
    <phoneticPr fontId="8" type="noConversion"/>
  </si>
  <si>
    <r>
      <t xml:space="preserve">1. 제한사항
</t>
    </r>
    <r>
      <rPr>
        <b/>
        <sz val="10"/>
        <color rgb="FFFF0000"/>
        <rFont val="맑은 고딕"/>
        <family val="3"/>
        <charset val="129"/>
      </rPr>
      <t>(국적제한) 싱가포르 국적자 지원 불가</t>
    </r>
    <r>
      <rPr>
        <sz val="10"/>
        <color rgb="FF000000"/>
        <rFont val="맑은 고딕"/>
        <family val="3"/>
        <charset val="129"/>
      </rPr>
      <t xml:space="preserve">
(지원제한) College of Computing and Data Science(CCDS), Nanyang Business School (NBS)
(수강제한) 강의정보 "Course Matters" 페이지 내 "Restricted Programmes and Courses" 등을 참고하여 파견대학 현황, 규정 등 숙지 요망
 * Refer to Course Restriction List
 - https://gem.ntu.edu.sg/_customtags/ct_DocumentRetrieve.cfm?token=eyJ0eXAiOiJKV1QiLCJhbGciOiJIUzI1NiJ9.eyJwYXlsb2FkIjp7InRpbWVzdGFtcCI6IjIwMjItMDktMzBUMDU6NTc6NTIiLCJleHBpcmVMaW5rIjpmYWxzZSwiZmlsZUlkIjo0Mjg5MH19.BK8ZIaVIptHirlaPXIcVrCF2hlSRke5Bl2DLv_1BRrA </t>
    </r>
    <phoneticPr fontId="8" type="noConversion"/>
  </si>
  <si>
    <t>(대학) http://www.ntu.edu.sg
(교환학생) https://gem.ntu.edu.sg/index.cfm?FuseAction=Programs.ViewProgramAngular&amp;id=10006
(강의정보) https://gem.ntu.edu.sg/_customtags/ct_FileRetrieve.cfm?File_ID=21429
(주거정보) https://gem.ntu.edu.sg/index.cfm?FuseAction=Programs.ViewProgramAngular&amp;id=10006</t>
    <phoneticPr fontId="8" type="noConversion"/>
  </si>
  <si>
    <r>
      <t>1. 전공기준 : 전공매칭 필수 - 파견대학 소속 희망 전공 관련 학문적 배경(본/복수/부전공) 필요
2. 성적기준 : 평점평균 4.5 만점</t>
    </r>
    <r>
      <rPr>
        <sz val="10"/>
        <color rgb="FF44546A"/>
        <rFont val="맑은 고딕"/>
        <family val="3"/>
        <charset val="129"/>
      </rPr>
      <t xml:space="preserve"> </t>
    </r>
    <r>
      <rPr>
        <sz val="10"/>
        <color rgb="FF000000"/>
        <rFont val="맑은 고딕"/>
        <family val="3"/>
        <charset val="129"/>
      </rPr>
      <t xml:space="preserve">기준 3.5 이상
3. 어학기준 : 
(영어) TOEFL iBT 72 / IELTS 5.5
</t>
    </r>
    <r>
      <rPr>
        <sz val="10"/>
        <rFont val="맑은 고딕"/>
        <family val="3"/>
        <charset val="129"/>
      </rPr>
      <t>(중국어) HSK Level 5</t>
    </r>
    <phoneticPr fontId="8" type="noConversion"/>
  </si>
  <si>
    <t>· 1st : Sep-Dec
· 2nd : Feb-Jun</t>
  </si>
  <si>
    <r>
      <t xml:space="preserve">1. 제한사항
</t>
    </r>
    <r>
      <rPr>
        <b/>
        <sz val="10"/>
        <rFont val="맑은 고딕"/>
        <family val="3"/>
        <charset val="129"/>
      </rPr>
      <t xml:space="preserve">(국적제한) You should hold a non-Taiwanese passport. </t>
    </r>
    <r>
      <rPr>
        <sz val="10"/>
        <rFont val="맑은 고딕"/>
        <family val="3"/>
        <charset val="129"/>
      </rPr>
      <t xml:space="preserve">Students of Taiwanese nationality alone are not eligible for the exchange program. Only students with dual citizenship, where one is of foreign origin, are eligible for the exchange program. 
(지원제한) Department of Dentistry/ International College/ D-School/ School of Political Science and Economics/ Center for General Education
※ 이외 별도 제한사항 확인 필요
- https://isss.ntu.edu.tw/exchange-visiting-students/overview/
2. 특이사항
(추가심사) </t>
    </r>
    <r>
      <rPr>
        <u/>
        <sz val="10"/>
        <rFont val="맑은 고딕"/>
        <family val="3"/>
        <charset val="129"/>
      </rPr>
      <t>대학원생</t>
    </r>
    <r>
      <rPr>
        <sz val="10"/>
        <rFont val="맑은 고딕"/>
        <family val="3"/>
        <charset val="129"/>
      </rPr>
      <t>의 경우, 파견대학 별도 심사에 의해 전공 수강 허용 여부 결정</t>
    </r>
    <phoneticPr fontId="8" type="noConversion"/>
  </si>
  <si>
    <t>(대학) https://oia.ntu.edu.tw/en
(교환학생) https://isss.ntu.edu.tw/exchange-visiting-students/overview/
(강의정보) https://course.ntu.edu.tw/en
(주거정보) https://isss.ntu.edu.tw/campus-life/accommodation/</t>
    <phoneticPr fontId="8" type="noConversion"/>
  </si>
  <si>
    <t>1. 특이사항
(유의사항) 특정 모듈(강의)의 경우 별도 자격요건이 있는 경우가 있으므로, 하단 링크에서 확인 후 지원
  ※ https://www.sussex.ac.uk/study/study-abroad-at-sussex/our-programs</t>
    <phoneticPr fontId="8" type="noConversion"/>
  </si>
  <si>
    <t>(대학) https://www.sussex.ac.uk/
(교환학생) https://www.sussex.ac.uk/study/study-abroad-at-sussex
(주거정보) https://www.sussex.ac.uk/study/study-abroad-at-sussex/accommodation</t>
    <phoneticPr fontId="8" type="noConversion"/>
  </si>
  <si>
    <t>1. 전공기준 : 제한 없음
2. 성적기준 : 평점평균 4.5 만점 기준 3.5 이상
3. 어학기준 :
(영어) TOEFL iBT 80 ('26.01.21.이후 4.5) / IELTS 6.0</t>
    <phoneticPr fontId="8" type="noConversion"/>
  </si>
  <si>
    <t>1. 특이사항
(어학수업) The Yale-China Chinese Language Academy (CLA) offers Cantonese and Putonghua courses at all levels. Most undergraduate exchange students can take a maximum of 6 units (2 courses) each term without paying additional tuition fees. Postgraduate exchange students
are required to pay tuition for taking Chinese proficiency courses.
2. 제한사항
- Courses unavailable to exchange students : 
https://www.oalglobal.cuhk.edu.hk/files/incoming/course_exceptions.pdf</t>
    <phoneticPr fontId="8" type="noConversion"/>
  </si>
  <si>
    <t>(대학) http://www.cuhk.edu.hk/english
(교환학생) https://www.oalglobal.cuhk.edu.hk/getting_started/
(강의정보) https://www.oalglobal.cuhk.edu.hk/academics/
(주거정보) https://www.oalglobal.cuhk.edu.hk/campuslife/</t>
    <phoneticPr fontId="8" type="noConversion"/>
  </si>
  <si>
    <t xml:space="preserve">1. 전공기준 : 제한 없음
2. 성적기준 : 평점평균 4.5 만점 기준 3.5 이상
3. 어학기준 :
(영어) TOEFL iBT 90 / IELTS 6.5 </t>
    <phoneticPr fontId="8" type="noConversion"/>
  </si>
  <si>
    <t>3학기제
(Trimester)</t>
  </si>
  <si>
    <t>· Term 1 : Feb-May
· Term 2 : May-Sep
· Term 3 : Sep-Dec</t>
  </si>
  <si>
    <r>
      <t xml:space="preserve">1. 제한사항
(수강불가) 
MBA Coursework Courses/ Courses that are part of the Honours degree (4xxx)/UNSW Canberra and the Australian Defence Force Academy (all courses starting with 'Z'/UNSW College Doctor of Medicine program
※ (참고) 파견대학 전공/과목별 제한사항 별도 확인 - 하단 링크 
  - https://sway.cloud.microsoft/LUMxAzRKDvS7n8nE?ref=Link
2. 특이사항
</t>
    </r>
    <r>
      <rPr>
        <sz val="10"/>
        <color rgb="FFFF0000"/>
        <rFont val="맑은 고딕"/>
        <family val="3"/>
        <charset val="129"/>
      </rPr>
      <t>(파견학기) 본교 기준 1학기 파견자는 파견대학 Term 1에, 2학기 파견자는 파견대학 Term 3에 등록, 이수해야 함</t>
    </r>
    <phoneticPr fontId="8" type="noConversion"/>
  </si>
  <si>
    <t>(대학) https://www.unsw.edu.au/
(교환학생) https://www.unsw.edu.au/study/international-students/study-abroad
(강의정보) https://sway.cloud.microsoft/LUMxAzRKDvS7n8nE?ref=Link
(주거정보) https://www.unsw.edu.au/accommodation</t>
    <phoneticPr fontId="8" type="noConversion"/>
  </si>
  <si>
    <t>· Semester 1 : Aug-.Nov
· Semester 2 : Feb-June</t>
    <phoneticPr fontId="8" type="noConversion"/>
  </si>
  <si>
    <t>(대학) https://adelaide.edu.au/
(주거정보) https://adelaide.edu.au/life-at-adelaide/accommodation/
(교환학생) https://adelaide.edu.au/study/global-learning/study-abroad-and-exchange/
(영어강의) https://adelaide.edu.au/study/english-language-centre/</t>
    <phoneticPr fontId="8" type="noConversion"/>
  </si>
  <si>
    <t>· Fall : Sep-.Jan
· Spring : Feb-July</t>
    <phoneticPr fontId="8" type="noConversion"/>
  </si>
  <si>
    <t>(제한사항) 
1. All courses from the School of Medicine and Shanghai Advanced Institute of Finance are not available to university-level exchange students.
2. School of Computer Science, School of Electrical Engineering, School of Automation and Intelligent Sensing, School of Integrated Circuits (School of Information Science and Electronic Engineering): The number of vacancies for these courses is highly limited due to the current capacity issue. You must be able to take courses in Chinese, and you must achieve a grade of no less than 80 points in each course on your academic transcript.
3. The application for Antai College of Economics and Management is highly competitive, and applicants must have an academic background in economics and management-related disciplines.
4. Some schools, such as the School of International and Public Affairs/KoGuan Law School etc., do not offer undergraduate courses taught in English.If you choose these schools, you can select the English-taught graduate programs offered by the school.
5. Not all graduate courses are available to undergraduate exchange students, and vice versa.</t>
    <phoneticPr fontId="8" type="noConversion"/>
  </si>
  <si>
    <t xml:space="preserve">(대학) https://global.sjtu.edu.cn/en/
(교환학생) https://global.sjtu.edu.cn/en/study-sjtu/prospective/non-degree-programs/281
</t>
    <phoneticPr fontId="8" type="noConversion"/>
  </si>
  <si>
    <t>부산대학교 국제처(2026.06.)</t>
    <phoneticPr fontId="17" type="noConversion"/>
  </si>
  <si>
    <t>801-1000</t>
  </si>
  <si>
    <t>201-250</t>
    <phoneticPr fontId="8" type="noConversion"/>
  </si>
  <si>
    <t>자격기준
*어학기준: 최소어학성적, 성적 중 1개 이상 충족</t>
    <phoneticPr fontId="4" type="noConversion"/>
  </si>
  <si>
    <t>☞ (지원자격) 외국 국적자는 본인 국적 소재지로 지원불가</t>
    <phoneticPr fontId="4" type="noConversion"/>
  </si>
  <si>
    <t>TOEFL iBT 점수 체계 개편(2026. 1. 21. 시행)에 따라 신규 1–6점 체계 성적도 제출 가능하나, 본교 해외파견 프로그램의 외국어 준비도 평가는 「PNU 해외파견 프로그램 운영지침」 [별표 1]에 따른 TOEFL iBT 120점 만점 체계 기준으로 평가함.
(「PNU 해외파견 프로그램 운영지침」[별표 1] 기준)</t>
    <phoneticPr fontId="17" type="noConversion"/>
  </si>
  <si>
    <t>1. 전공기준 : 전공매칭 권장 - 파견대학 소속 희망 전공 관련 학문적 배경(본/복수/부전공) 필요
2. 성적기준 : 평점평균 4.5만점 기준 3.5이상
3. 어학기준
(영어) TOEFL iBT 80 / IELTS 6.0 
4. 특이사항 : 파견시점 기준 1학년 이상(2학기 이상 이수) 학생만 지원 가능</t>
    <phoneticPr fontId="8" type="noConversion"/>
  </si>
  <si>
    <t>☞ (이중국적자) 하나의 국적을 선택하여 지원 가능, 선택한 국적은 변경 불가, 지원서류 제출시 해당 국적의 여권 사본 반드시 첨부 
  ※ 이중국적자가 국적을 선택해 지원하더라도, "파견교·비자 요건으로 인해 실제 파견이 불가능하면 선발 또는 파견을 제한할 수 있다."</t>
    <phoneticPr fontId="4" type="noConversion"/>
  </si>
  <si>
    <t>▣ 2027학년도 1학기 파견 교환학생 선발 대학 목록 - 정규 1차</t>
    <phoneticPr fontId="8" type="noConversion"/>
  </si>
  <si>
    <t>라드바우드대학</t>
  </si>
  <si>
    <t>Radboud University</t>
    <phoneticPr fontId="8" type="noConversion"/>
  </si>
  <si>
    <t>Leiden University,
Faculty of Humanities</t>
    <phoneticPr fontId="8" type="noConversion"/>
  </si>
  <si>
    <t>로테르담응용과학대학,
경영대학</t>
  </si>
  <si>
    <t>Rotterdam University of Applied Sciences,
Hogeschool Rotterdam Business School</t>
  </si>
  <si>
    <t>트벤테대학,
행동·경영·사회과학대학</t>
  </si>
  <si>
    <t>University of Twente,
Faculty of Behavioural, Management and Social sciences(BMS)</t>
    <phoneticPr fontId="8" type="noConversion"/>
  </si>
  <si>
    <t>흐로닝언대학,
경제경영대학</t>
  </si>
  <si>
    <t>University of Groningen,
Faculty of Economics &amp; Business</t>
  </si>
  <si>
    <t>노르웨이</t>
  </si>
  <si>
    <t>노르웨이과학기술대학</t>
  </si>
  <si>
    <t>Norwegian University of Science and Technology
(NTNU)</t>
  </si>
  <si>
    <t>볼다대학</t>
  </si>
  <si>
    <t>Volda University College</t>
  </si>
  <si>
    <t>인랜드노르웨이대학</t>
  </si>
  <si>
    <t>University of Inland Norway(Universitetet i Innlandet)</t>
  </si>
  <si>
    <t>국립대만사범대학</t>
  </si>
  <si>
    <t>National Taiwan Normal University</t>
  </si>
  <si>
    <t>국립양명교통대학</t>
  </si>
  <si>
    <t>National Yang Ming Chiao Tung University</t>
  </si>
  <si>
    <t>국립정치대학</t>
  </si>
  <si>
    <t>National Chengchi University</t>
  </si>
  <si>
    <t>대만</t>
    <phoneticPr fontId="8" type="noConversion"/>
  </si>
  <si>
    <t>국립중산대학</t>
    <phoneticPr fontId="8" type="noConversion"/>
  </si>
  <si>
    <t>National Sun Yat-sen University</t>
    <phoneticPr fontId="8" type="noConversion"/>
  </si>
  <si>
    <t>대만성공대학</t>
  </si>
  <si>
    <t>National Cheng Kung University</t>
  </si>
  <si>
    <t>중국문화대학</t>
  </si>
  <si>
    <t>Chinese Culture Uuniversity</t>
  </si>
  <si>
    <t>다름슈타트공과대학</t>
  </si>
  <si>
    <t>Technical University of Darmstadt</t>
    <phoneticPr fontId="8" type="noConversion"/>
  </si>
  <si>
    <t>레겐스부르크대학</t>
  </si>
  <si>
    <t>University of Regensburg</t>
  </si>
  <si>
    <t xml:space="preserve"> 영어 또는 독일어</t>
    <phoneticPr fontId="8" type="noConversion"/>
  </si>
  <si>
    <t>독일</t>
    <phoneticPr fontId="8" type="noConversion"/>
  </si>
  <si>
    <t>루르보훔대학</t>
    <phoneticPr fontId="8" type="noConversion"/>
  </si>
  <si>
    <t xml:space="preserve">Ruhr University Bochum
</t>
    <phoneticPr fontId="8" type="noConversion"/>
  </si>
  <si>
    <t>만하임대학,
인문대학</t>
  </si>
  <si>
    <t>University of Mannheim,
School of Humanities</t>
  </si>
  <si>
    <t>뮌스터응용과학대학,
경영대학</t>
  </si>
  <si>
    <t>FH Münster University of Applied Sciences,
School of Business</t>
  </si>
  <si>
    <t>뮌헨응용과학대학</t>
  </si>
  <si>
    <t>Munich University of Applied Sciences
(Hochschule München)</t>
    <phoneticPr fontId="8" type="noConversion"/>
  </si>
  <si>
    <t>바이로이트대학</t>
  </si>
  <si>
    <t>University of Bayreuth</t>
    <phoneticPr fontId="8" type="noConversion"/>
  </si>
  <si>
    <t>밤베르크대학</t>
  </si>
  <si>
    <t>University of Bamberg
(Otto-Friedrich-Universität Bamberg)</t>
  </si>
  <si>
    <t>베를린자유대학</t>
  </si>
  <si>
    <t>Free University of Berlin</t>
    <phoneticPr fontId="8" type="noConversion"/>
  </si>
  <si>
    <t>브레멘응용과학대학,
국제경영대학(1대학)</t>
    <phoneticPr fontId="8" type="noConversion"/>
  </si>
  <si>
    <t>Hochschule Bremen - City University of Applied Sciences,
School of International Business</t>
    <phoneticPr fontId="8" type="noConversion"/>
  </si>
  <si>
    <t>브레멘응용과학대학,
사회과학대학(3대학)</t>
  </si>
  <si>
    <t>Hochschule Bremen, City University of Applied Sciences - School of Social Sciences</t>
  </si>
  <si>
    <t>아우크스부르크대학</t>
    <phoneticPr fontId="8" type="noConversion"/>
  </si>
  <si>
    <t>University of Augsburg</t>
  </si>
  <si>
    <t>영어 또는 독일어</t>
    <phoneticPr fontId="8" type="noConversion"/>
  </si>
  <si>
    <t>오스나브뤼크대학</t>
    <phoneticPr fontId="8" type="noConversion"/>
  </si>
  <si>
    <t>Osnabruck University</t>
    <phoneticPr fontId="8" type="noConversion"/>
  </si>
  <si>
    <t>오스나브뤼크응용과학대학,
농업과학조경대학</t>
  </si>
  <si>
    <t>Osnabrück University of Applied Sciences,
Faculty of Agricultural Sciences and Landscape Architecture</t>
    <phoneticPr fontId="8" type="noConversion"/>
  </si>
  <si>
    <t>올덴부르크대학</t>
  </si>
  <si>
    <r>
      <t xml:space="preserve">University of Oldenburg
</t>
    </r>
    <r>
      <rPr>
        <b/>
        <sz val="12"/>
        <color theme="4"/>
        <rFont val="맑은 고딕"/>
        <family val="3"/>
        <charset val="129"/>
      </rPr>
      <t>(Carl von Ossietzky Universität Oldenburg)</t>
    </r>
    <phoneticPr fontId="8" type="noConversion"/>
  </si>
  <si>
    <t>클라우스탈공과대학</t>
    <phoneticPr fontId="8" type="noConversion"/>
  </si>
  <si>
    <t>Clausthal University of Technology</t>
  </si>
  <si>
    <t>킬대학</t>
  </si>
  <si>
    <t>Kiel University
(Christian-Albrechts-Universität zu Kiel)</t>
  </si>
  <si>
    <t>푸르트방겐대학</t>
  </si>
  <si>
    <t>Furtwangen University of Applied Sciences
(Hochschule Furtwangen, HFU)</t>
  </si>
  <si>
    <t>프랑크푸르트 괴테대학</t>
    <phoneticPr fontId="8" type="noConversion"/>
  </si>
  <si>
    <t>Goethe University Frankfurt</t>
    <phoneticPr fontId="8" type="noConversion"/>
  </si>
  <si>
    <t>프랑크푸르트 응용과학대학</t>
  </si>
  <si>
    <t>Frankfurt University of Applied Sciences</t>
    <phoneticPr fontId="8" type="noConversion"/>
  </si>
  <si>
    <t>함부르크대학</t>
  </si>
  <si>
    <t>University of Hamburg</t>
    <phoneticPr fontId="8" type="noConversion"/>
  </si>
  <si>
    <t>호헨하임대학</t>
  </si>
  <si>
    <t>University of Hohenheim</t>
    <phoneticPr fontId="8" type="noConversion"/>
  </si>
  <si>
    <t>루마니아</t>
    <phoneticPr fontId="8" type="noConversion"/>
  </si>
  <si>
    <t>부쿠레슈티대학</t>
    <phoneticPr fontId="8" type="noConversion"/>
  </si>
  <si>
    <t>University of Bucharest</t>
    <phoneticPr fontId="8" type="noConversion"/>
  </si>
  <si>
    <t>리투아니아</t>
  </si>
  <si>
    <t>비타우타스마그누스대학</t>
  </si>
  <si>
    <t>Vytautas Magnus University</t>
    <phoneticPr fontId="8" type="noConversion"/>
  </si>
  <si>
    <t>빌뉴스대학</t>
  </si>
  <si>
    <t xml:space="preserve">Vilnius University </t>
  </si>
  <si>
    <t>스페인어</t>
    <phoneticPr fontId="8" type="noConversion"/>
  </si>
  <si>
    <t>멕시코</t>
  </si>
  <si>
    <t>과나후아토대학</t>
  </si>
  <si>
    <t>University of Guanajuato</t>
  </si>
  <si>
    <t>미국</t>
  </si>
  <si>
    <t>뉴욕주립대학-오스웨고캠퍼스</t>
  </si>
  <si>
    <t>State University of New York at Oswego</t>
  </si>
  <si>
    <t>조지아주립대학</t>
  </si>
  <si>
    <t>Georgia State University</t>
    <phoneticPr fontId="8" type="noConversion"/>
  </si>
  <si>
    <t>텍사스리오그란데벨리대학</t>
    <phoneticPr fontId="8" type="noConversion"/>
  </si>
  <si>
    <t>University of Texas Rio Grande Valley</t>
    <phoneticPr fontId="8" type="noConversion"/>
  </si>
  <si>
    <t>벨기에</t>
  </si>
  <si>
    <t>아트벨데대학,
경영대학</t>
  </si>
  <si>
    <t>Artevelde University of Applied Sciences,
Faculty of Business and Management</t>
  </si>
  <si>
    <t>영어 또는 프랑스어</t>
  </si>
  <si>
    <t>스위스</t>
  </si>
  <si>
    <t>제네바대학</t>
  </si>
  <si>
    <t>University of Geneva</t>
    <phoneticPr fontId="8" type="noConversion"/>
  </si>
  <si>
    <t>스웨덴</t>
  </si>
  <si>
    <t>린네대학</t>
  </si>
  <si>
    <t>Linnaeus University</t>
  </si>
  <si>
    <t>쇠데르테른대학</t>
  </si>
  <si>
    <t>Södertörn University</t>
  </si>
  <si>
    <t>데우스토대학</t>
    <phoneticPr fontId="8" type="noConversion"/>
  </si>
  <si>
    <t>University of Deusto</t>
  </si>
  <si>
    <t>영어 또는 스페인어</t>
    <phoneticPr fontId="8" type="noConversion"/>
  </si>
  <si>
    <t>부르고스대학</t>
  </si>
  <si>
    <t>University of Burgos</t>
  </si>
  <si>
    <t>싱가포르경영대학</t>
  </si>
  <si>
    <t>Singapore Management University</t>
  </si>
  <si>
    <t>아일랜드</t>
  </si>
  <si>
    <t>골웨이대학</t>
  </si>
  <si>
    <t>University of Galway</t>
  </si>
  <si>
    <t>에스토니아</t>
  </si>
  <si>
    <t>타르투대학</t>
  </si>
  <si>
    <t>University of Tartu</t>
  </si>
  <si>
    <t>영어 또는 스페인어</t>
  </si>
  <si>
    <t>에콰도르</t>
  </si>
  <si>
    <t>키토 샌프란시스코대학</t>
  </si>
  <si>
    <t>Universidad San Francisco de Quito</t>
  </si>
  <si>
    <t>랭커셔대학</t>
  </si>
  <si>
    <t>University of Lancashire</t>
  </si>
  <si>
    <t>영국</t>
    <phoneticPr fontId="8" type="noConversion"/>
  </si>
  <si>
    <t>스트래스클라이드대학</t>
    <phoneticPr fontId="8" type="noConversion"/>
  </si>
  <si>
    <t xml:space="preserve">University of Strathclyde </t>
    <phoneticPr fontId="8" type="noConversion"/>
  </si>
  <si>
    <t>에식스대학</t>
  </si>
  <si>
    <t>University of Essex</t>
  </si>
  <si>
    <r>
      <t xml:space="preserve">영국
</t>
    </r>
    <r>
      <rPr>
        <b/>
        <sz val="10"/>
        <color rgb="FF0000FF"/>
        <rFont val="맑은 고딕"/>
        <family val="3"/>
        <charset val="129"/>
      </rPr>
      <t>(웨일스)</t>
    </r>
  </si>
  <si>
    <t>스완지대학</t>
  </si>
  <si>
    <t>Swansea University</t>
  </si>
  <si>
    <t>오스트리아</t>
  </si>
  <si>
    <t>인스부르크 MCI</t>
  </si>
  <si>
    <t>MCI - Management Center Innsbruck</t>
  </si>
  <si>
    <t>이탈리아</t>
  </si>
  <si>
    <t>베네치아카포스카리대학</t>
  </si>
  <si>
    <t>Ca' Foscari University of Venice</t>
    <phoneticPr fontId="8" type="noConversion"/>
  </si>
  <si>
    <t>이탈리아어</t>
    <phoneticPr fontId="8" type="noConversion"/>
  </si>
  <si>
    <t>시에나외국인대학</t>
  </si>
  <si>
    <t>University for Foreigners of Siena</t>
    <phoneticPr fontId="8" type="noConversion"/>
  </si>
  <si>
    <t>인도네시아</t>
  </si>
  <si>
    <t>인도네시아대학</t>
  </si>
  <si>
    <t>University of Indonesia</t>
    <phoneticPr fontId="8" type="noConversion"/>
  </si>
  <si>
    <t>가나자와대학</t>
    <phoneticPr fontId="8" type="noConversion"/>
  </si>
  <si>
    <t>Kanazawa University</t>
    <phoneticPr fontId="8" type="noConversion"/>
  </si>
  <si>
    <t>게이오대학</t>
  </si>
  <si>
    <t>Keio University</t>
  </si>
  <si>
    <t>교토부립대학</t>
  </si>
  <si>
    <t>Kyoto Prefectural University</t>
    <phoneticPr fontId="8" type="noConversion"/>
  </si>
  <si>
    <t>일본어</t>
    <phoneticPr fontId="8" type="noConversion"/>
  </si>
  <si>
    <t>군마대학</t>
  </si>
  <si>
    <t>Gunma University</t>
    <phoneticPr fontId="8" type="noConversion"/>
  </si>
  <si>
    <t>나고야외국어대학교</t>
    <phoneticPr fontId="8" type="noConversion"/>
  </si>
  <si>
    <t>Nagoya University of Foreign Studies</t>
    <phoneticPr fontId="8" type="noConversion"/>
  </si>
  <si>
    <t>일본어</t>
  </si>
  <si>
    <t>나카무라학원대학</t>
  </si>
  <si>
    <t>Nakamura Gakuen University</t>
  </si>
  <si>
    <t>동경해양대학</t>
    <phoneticPr fontId="8" type="noConversion"/>
  </si>
  <si>
    <t>Tokyo University of Marine Science and Technology</t>
    <phoneticPr fontId="8" type="noConversion"/>
  </si>
  <si>
    <t>사가대학</t>
  </si>
  <si>
    <t>Saga University</t>
  </si>
  <si>
    <t>사이타마대학</t>
  </si>
  <si>
    <t>Saitama University</t>
  </si>
  <si>
    <t>시즈오카대학</t>
  </si>
  <si>
    <t>Shizuoka University</t>
    <phoneticPr fontId="8" type="noConversion"/>
  </si>
  <si>
    <t>야마구치현립대학</t>
  </si>
  <si>
    <t>Yamaguchi Prefectural University</t>
  </si>
  <si>
    <t>오사카대학</t>
    <phoneticPr fontId="8" type="noConversion"/>
  </si>
  <si>
    <t>Osaka University</t>
  </si>
  <si>
    <t>오이타대학</t>
  </si>
  <si>
    <t>Oita University</t>
  </si>
  <si>
    <t>칸세이가쿠인대학</t>
    <phoneticPr fontId="8" type="noConversion"/>
  </si>
  <si>
    <t>Kwansei Gakuin University</t>
    <phoneticPr fontId="8" type="noConversion"/>
  </si>
  <si>
    <t>큐슈대학</t>
    <phoneticPr fontId="8" type="noConversion"/>
  </si>
  <si>
    <t>Kyushu University</t>
    <phoneticPr fontId="8" type="noConversion"/>
  </si>
  <si>
    <t>큐슈공업대학</t>
  </si>
  <si>
    <t>Kyushu Institute of Technology</t>
  </si>
  <si>
    <t>히로사키대학</t>
  </si>
  <si>
    <t>Hirosaki University</t>
  </si>
  <si>
    <t>중국어</t>
  </si>
  <si>
    <t>중국</t>
  </si>
  <si>
    <t>강남대학</t>
  </si>
  <si>
    <t>Jiangnan University</t>
    <phoneticPr fontId="8" type="noConversion"/>
  </si>
  <si>
    <t>산동과학기술대학</t>
  </si>
  <si>
    <t>Shandong University of Science and Technology</t>
  </si>
  <si>
    <t>산동대학, 위해캠퍼스</t>
    <phoneticPr fontId="8" type="noConversion"/>
  </si>
  <si>
    <t>Shandong University, Weihai</t>
  </si>
  <si>
    <t>Shanghai Jiao tong University</t>
    <phoneticPr fontId="8" type="noConversion"/>
  </si>
  <si>
    <t>중국외교학원</t>
  </si>
  <si>
    <t>China Foreign Affairs University</t>
  </si>
  <si>
    <t>중국인민대학</t>
  </si>
  <si>
    <t>Renmin University of China</t>
    <phoneticPr fontId="8" type="noConversion"/>
  </si>
  <si>
    <t>화동사범대학</t>
  </si>
  <si>
    <t>East China Normal University</t>
    <phoneticPr fontId="8" type="noConversion"/>
  </si>
  <si>
    <t>링난대학</t>
    <phoneticPr fontId="8" type="noConversion"/>
  </si>
  <si>
    <t>Lingnan University</t>
    <phoneticPr fontId="8" type="noConversion"/>
  </si>
  <si>
    <t>체코</t>
  </si>
  <si>
    <t>오스트라바대학</t>
  </si>
  <si>
    <t>University of Ostrava</t>
  </si>
  <si>
    <t>카자흐스탄</t>
  </si>
  <si>
    <t>KIMEP대학</t>
  </si>
  <si>
    <t>NJSC KIMEP University</t>
  </si>
  <si>
    <t>캐나다</t>
  </si>
  <si>
    <t>레이크헤드대학</t>
    <phoneticPr fontId="8" type="noConversion"/>
  </si>
  <si>
    <t>Lakehead University</t>
  </si>
  <si>
    <t>레지나대학</t>
  </si>
  <si>
    <t>University of Regina</t>
  </si>
  <si>
    <t>매니토바대학,
애스퍼 경영대학</t>
  </si>
  <si>
    <t>University of Manitoba,
Asper School of Business</t>
  </si>
  <si>
    <t>튀르키예</t>
    <phoneticPr fontId="8" type="noConversion"/>
  </si>
  <si>
    <t>코치대학</t>
    <phoneticPr fontId="8" type="noConversion"/>
  </si>
  <si>
    <t>Koç University</t>
    <phoneticPr fontId="8" type="noConversion"/>
  </si>
  <si>
    <t>폴란드</t>
  </si>
  <si>
    <t>바르샤바생명과학대학</t>
  </si>
  <si>
    <t>warsaw university of life sciences - SGGW</t>
    <phoneticPr fontId="8" type="noConversion"/>
  </si>
  <si>
    <t>브로츠와프대학</t>
    <phoneticPr fontId="8" type="noConversion"/>
  </si>
  <si>
    <t>University of Wroclaw</t>
    <phoneticPr fontId="8" type="noConversion"/>
  </si>
  <si>
    <t>프랑스</t>
  </si>
  <si>
    <t>CY 세르지파리대학</t>
  </si>
  <si>
    <t>CY Cergy Paris Université,
Sciences Po Saint-Germain-en-Laye</t>
  </si>
  <si>
    <t>영어 또는 프랑스어</t>
    <phoneticPr fontId="8" type="noConversion"/>
  </si>
  <si>
    <t>KEDGE경영대학</t>
    <phoneticPr fontId="8" type="noConversion"/>
  </si>
  <si>
    <t>KEDGE Business School</t>
  </si>
  <si>
    <t>프랑스</t>
    <phoneticPr fontId="8" type="noConversion"/>
  </si>
  <si>
    <t>HEIP</t>
    <phoneticPr fontId="8" type="noConversion"/>
  </si>
  <si>
    <t>HEIP
(Hautes Études Internationales &amp; Politiques)</t>
    <phoneticPr fontId="8" type="noConversion"/>
  </si>
  <si>
    <t>프랑스어</t>
  </si>
  <si>
    <t>국립동양어문화대학
(INALCO)</t>
  </si>
  <si>
    <t>National Institute of Oriental Languages and Civilizations(INALCO)</t>
  </si>
  <si>
    <t>네오마경영대학</t>
    <phoneticPr fontId="8" type="noConversion"/>
  </si>
  <si>
    <t>NEOMA Business School</t>
    <phoneticPr fontId="8" type="noConversion"/>
  </si>
  <si>
    <t>프랑스어</t>
    <phoneticPr fontId="8" type="noConversion"/>
  </si>
  <si>
    <t>라로셸대학</t>
    <phoneticPr fontId="8" type="noConversion"/>
  </si>
  <si>
    <t>La Rochelle Universiy</t>
    <phoneticPr fontId="8" type="noConversion"/>
  </si>
  <si>
    <t>Université Le Havre Normandie</t>
  </si>
  <si>
    <t>리옹고등사범학교</t>
    <phoneticPr fontId="8" type="noConversion"/>
  </si>
  <si>
    <t>ENS de Lyon</t>
    <phoneticPr fontId="8" type="noConversion"/>
  </si>
  <si>
    <t>마리·루이 파스퇴르 대학
(구, 프랑슈-콩테대학)</t>
    <phoneticPr fontId="8" type="noConversion"/>
  </si>
  <si>
    <t>University Marie and Louis Pasteur
(구, University of Franche-Comte)</t>
    <phoneticPr fontId="8" type="noConversion"/>
  </si>
  <si>
    <t>보르도몽테뉴대학</t>
  </si>
  <si>
    <t>Bordeaux Montaigne University</t>
  </si>
  <si>
    <t>부르고뉴유럽대학,
IAE Dijon 경영대학</t>
  </si>
  <si>
    <t>Université Bourgogne Europe,
IAE Dijon School of Management</t>
  </si>
  <si>
    <t>아비뇽대학</t>
  </si>
  <si>
    <t>Avignon University</t>
    <phoneticPr fontId="8" type="noConversion"/>
  </si>
  <si>
    <t>앙제대학,
언어인문사회대학</t>
    <phoneticPr fontId="8" type="noConversion"/>
  </si>
  <si>
    <t>University of Angers,
Faculty of Languages, Humanities and Social Sciences</t>
    <phoneticPr fontId="8" type="noConversion"/>
  </si>
  <si>
    <t>엑스마르세유대학</t>
  </si>
  <si>
    <t>Aix Marseille University</t>
    <phoneticPr fontId="8" type="noConversion"/>
  </si>
  <si>
    <t>툴루즈장조레스대학</t>
  </si>
  <si>
    <t>University of Toulouse-Jean Jaurès</t>
    <phoneticPr fontId="8" type="noConversion"/>
  </si>
  <si>
    <t>파리시떼대학,
인문사회대학</t>
    <phoneticPr fontId="8" type="noConversion"/>
  </si>
  <si>
    <t>Paris Cité University,
Faculty of Humanitites and Social Sciences</t>
    <phoneticPr fontId="8" type="noConversion"/>
  </si>
  <si>
    <t>파리카톨릭대학</t>
    <phoneticPr fontId="8" type="noConversion"/>
  </si>
  <si>
    <t>Catholic University of Paris
(Institut Catholique de Paris)</t>
    <phoneticPr fontId="8" type="noConversion"/>
  </si>
  <si>
    <t xml:space="preserve">프랑스 </t>
  </si>
  <si>
    <t>ESME 수드리아
(ESME 공과대학)</t>
  </si>
  <si>
    <t>ESME Sudria
(ESME Engineering School)</t>
  </si>
  <si>
    <t>핀란드</t>
  </si>
  <si>
    <t>이위베스퀼레대학</t>
  </si>
  <si>
    <t>University of Jyväskylä</t>
    <phoneticPr fontId="8" type="noConversion"/>
  </si>
  <si>
    <t>투르쿠대학</t>
    <phoneticPr fontId="8" type="noConversion"/>
  </si>
  <si>
    <t>University of Turku</t>
  </si>
  <si>
    <t>한켄경제대학</t>
  </si>
  <si>
    <t>Hanken School of Economics</t>
  </si>
  <si>
    <t>University of New South Wales</t>
    <phoneticPr fontId="8" type="noConversion"/>
  </si>
  <si>
    <t>뉴캐슬대학</t>
  </si>
  <si>
    <t>University of Newcastle</t>
  </si>
  <si>
    <t>시드니공과대학</t>
  </si>
  <si>
    <t>University of Technology Sydney</t>
    <phoneticPr fontId="8" type="noConversion"/>
  </si>
  <si>
    <t>교비</t>
  </si>
  <si>
    <t>미국/영국 등</t>
    <phoneticPr fontId="8" type="noConversion"/>
  </si>
  <si>
    <t>SAF 회원국</t>
  </si>
  <si>
    <t>SAF</t>
  </si>
  <si>
    <t>북경대학</t>
    <phoneticPr fontId="8" type="noConversion"/>
  </si>
  <si>
    <t>Peking University</t>
    <phoneticPr fontId="8" type="noConversion"/>
  </si>
  <si>
    <t>-</t>
  </si>
  <si>
    <t>301-350</t>
  </si>
  <si>
    <t>501-600</t>
  </si>
  <si>
    <t>401-500</t>
  </si>
  <si>
    <t>1201-1500</t>
  </si>
  <si>
    <t>601-800</t>
    <phoneticPr fontId="8" type="noConversion"/>
  </si>
  <si>
    <t>1501+</t>
  </si>
  <si>
    <t>251-300</t>
    <phoneticPr fontId="8" type="noConversion"/>
  </si>
  <si>
    <t>1201-1400</t>
    <phoneticPr fontId="8" type="noConversion"/>
  </si>
  <si>
    <t>-</t>
    <phoneticPr fontId="8" type="noConversion"/>
  </si>
  <si>
    <t>1401+</t>
    <phoneticPr fontId="8" type="noConversion"/>
  </si>
  <si>
    <t>1001-1200</t>
    <phoneticPr fontId="8" type="noConversion"/>
  </si>
  <si>
    <t>351-400</t>
    <phoneticPr fontId="8" type="noConversion"/>
  </si>
  <si>
    <t>351-400</t>
  </si>
  <si>
    <t>771-780</t>
    <phoneticPr fontId="8" type="noConversion"/>
  </si>
  <si>
    <t>801-850</t>
    <phoneticPr fontId="8" type="noConversion"/>
  </si>
  <si>
    <t>751-760</t>
    <phoneticPr fontId="8" type="noConversion"/>
  </si>
  <si>
    <t>1401+</t>
  </si>
  <si>
    <t>851-900</t>
    <phoneticPr fontId="8" type="noConversion"/>
  </si>
  <si>
    <t>401-500</t>
    <phoneticPr fontId="8" type="noConversion"/>
  </si>
  <si>
    <t>1001-1200</t>
  </si>
  <si>
    <t>801-1000</t>
    <phoneticPr fontId="8" type="noConversion"/>
  </si>
  <si>
    <t>601-800</t>
  </si>
  <si>
    <t>1201-1400</t>
  </si>
  <si>
    <t>1501+</t>
    <phoneticPr fontId="8" type="noConversion"/>
  </si>
  <si>
    <t>301-350</t>
    <phoneticPr fontId="8" type="noConversion"/>
  </si>
  <si>
    <t>641-680</t>
    <phoneticPr fontId="8" type="noConversion"/>
  </si>
  <si>
    <t>1201–1500
(2026)</t>
    <phoneticPr fontId="8" type="noConversion"/>
  </si>
  <si>
    <t>901-950</t>
    <phoneticPr fontId="8" type="noConversion"/>
  </si>
  <si>
    <t>951-1000</t>
    <phoneticPr fontId="8" type="noConversion"/>
  </si>
  <si>
    <t>401~500</t>
  </si>
  <si>
    <t>79
(2026)</t>
    <phoneticPr fontId="8" type="noConversion"/>
  </si>
  <si>
    <t>정규 1차
TO</t>
    <phoneticPr fontId="4" type="noConversion"/>
  </si>
  <si>
    <t xml:space="preserve">1. 전공기준 : 전공매칭 권장 - 파견대학 소속 희망 전공 관련 학문적 배경(본/복수/부전공) 필요
2. 성적기준 : 교환학생 지원 시점 기준 직전학기 학사경고자 지원 불가
3. 어학기준 :
(영어) TOEFL iBT 80 ('26.01.21. 이후 4.0) / IELTS 6.0(각 영역 최소 6.0) / TOEIC 865
</t>
    <phoneticPr fontId="8" type="noConversion"/>
  </si>
  <si>
    <r>
      <t xml:space="preserve">1. 전공기준 : 전공매칭 필수 - </t>
    </r>
    <r>
      <rPr>
        <u/>
        <sz val="10"/>
        <color rgb="FF000000"/>
        <rFont val="맑은 고딕"/>
        <family val="3"/>
        <charset val="129"/>
      </rPr>
      <t>상경계열</t>
    </r>
    <r>
      <rPr>
        <sz val="10"/>
        <color rgb="FF000000"/>
        <rFont val="맑은 고딕"/>
        <family val="3"/>
        <charset val="129"/>
      </rPr>
      <t xml:space="preserve"> 본/복수전공
2. 성적기준 : 교환학생 지원 시점 기준 직전학기 학사경고자 지원 불가
3. 어학기준 :
(영어) TOEFL iBT 80 / TOEFL ITP 550 / IELTS 6.0
4. 특이사항 : 파견시점 기준 3학년 이상(4학기 이상 이수) 학생만 지원 가능</t>
    </r>
    <phoneticPr fontId="8" type="noConversion"/>
  </si>
  <si>
    <r>
      <t xml:space="preserve">1. 전공기준 : 전공매칭 필수  - 상경계열 본/복수전공
  ※ 세부정보의 (지원자격) 충족 필수
2. 성적기준 : 교환학생 지원 시점 기준 직전학기 학사경고자 지원 불가
3. 어학기준 :
(영어) TOEFL iBT 80(S 20, W 20) / IELTS 6(S 6, W 5.5)
  ※ 모든 어학성적은 </t>
    </r>
    <r>
      <rPr>
        <u/>
        <sz val="10"/>
        <color rgb="FF000000"/>
        <rFont val="맑은 고딕"/>
        <family val="3"/>
        <charset val="129"/>
      </rPr>
      <t>파견시점 기준</t>
    </r>
    <r>
      <rPr>
        <sz val="10"/>
        <color rgb="FF000000"/>
        <rFont val="맑은 고딕"/>
        <family val="3"/>
        <charset val="129"/>
      </rPr>
      <t xml:space="preserve"> 2년 이내의 성적만 인정
  ※ (TOEFL '26.01.21. 이후 성적 취득자) Overall score 4 이상 (S 4, W 4 이상)  </t>
    </r>
    <phoneticPr fontId="8" type="noConversion"/>
  </si>
  <si>
    <t xml:space="preserve">1. 전공기준 : 제한사항 없음
2. 성적기준 : 교환학생 지원 시점 기준 직전학기 학사경고자 지원 불가
3. 어학기준 :
(영어) TOEFL IBT 90 / IELTS 6.5 </t>
    <phoneticPr fontId="8" type="noConversion"/>
  </si>
  <si>
    <t>1. 전공기준 : 제한사항 없음
2. 성적기준 : 교환학생 지원 시점 기준 직전학기 학사경고자 지원 불가
3. 어학기준 :
(영어) TOEFL iBT 72 / IELTS 5.5</t>
    <phoneticPr fontId="8" type="noConversion"/>
  </si>
  <si>
    <t>1. 전공기준 : 제한사항 없음
2. 성적기준 : 교환학생 지원 시점 기준 직전학기 학사경고자 지원 불가
3. 어학기준 :
(영어) 학사- TOEFL iBT 60('26.01.21.이후 3.5) / IELTS 5.0
        석사- TOE리 iBT 90('26.01.21.이후 4.5) / IELTS 6.5</t>
    <phoneticPr fontId="8" type="noConversion"/>
  </si>
  <si>
    <t>1. 전공기준 : 제한사항 없음
2. 성적기준 : 평점평균 4.5 만점 기준 3.3 이상
3. 어학기준 :
(영어) TOEFL iBT 72('26.01.21. 이후 TOEFL iBT 4) / IELTS 5.5
(중국어) 아래 전공은 자체 중국어 요건을 충족해야만 지원 가능
 - Department of History: New HSK 6
 - Department of Chinese as a Second Language: Certificate of taken 180-hours of Chinese courses
 - Department of East Asian Studies: HSK Level 5</t>
    <phoneticPr fontId="8" type="noConversion"/>
  </si>
  <si>
    <t xml:space="preserve">1. 전공기준 : 제한 없음
2. 성적기준 : 평점평균 4.5 만점 기준 3.25 이상
3. 어학기준 :
(영어) TOEFL iBT 80 / IELTS 6.0 / TOEIC 700 
(중국어) HSK Level 4 
   ※ 일부단과대학은 더 높은 중국어 능력 요구 가능(College of Informatics, College of Science 등) </t>
    <phoneticPr fontId="8" type="noConversion"/>
  </si>
  <si>
    <t xml:space="preserve">1. 전공기준 : 전공매칭 권장 - 파견대학 소속 희망 전공 관련 학문적 배경(본/복수/부전공) 필요
2. 성적기준 : 교환학생 지원 시점 기준 직전학기 학사경고자 지원 불가
3. 어학기준 :
(영어) TOEFL iBT 72 / IELTS 5.5
(중국어) HSK 5급 </t>
    <phoneticPr fontId="8" type="noConversion"/>
  </si>
  <si>
    <r>
      <rPr>
        <sz val="10"/>
        <color rgb="FF000000"/>
        <rFont val="맑은 고딕"/>
        <family val="3"/>
        <charset val="129"/>
      </rPr>
      <t>1. 전공기준 : 전공매칭 필수 - 파견대학 특정 전공에만 지원 및 소속 가능하며, 지원 분야 관련 학문적 배경(본/복수/부전공) 필요</t>
    </r>
    <r>
      <rPr>
        <sz val="10"/>
        <color rgb="FFFF0000"/>
        <rFont val="맑은 고딕"/>
        <family val="3"/>
        <charset val="129"/>
      </rPr>
      <t xml:space="preserve">
</t>
    </r>
    <r>
      <rPr>
        <sz val="10"/>
        <color rgb="FF000000"/>
        <rFont val="맑은 고딕"/>
        <family val="3"/>
        <charset val="129"/>
      </rPr>
      <t xml:space="preserve">2. 성적기준 : 지원 전공별 기준을 충족하는 성적
3. 어학기준 : 지원 전공별 기준을 충족하는 어학시험 성적
</t>
    </r>
    <r>
      <rPr>
        <sz val="10"/>
        <color rgb="FF0000FF"/>
        <rFont val="맑은 고딕"/>
        <family val="3"/>
        <charset val="129"/>
      </rPr>
      <t xml:space="preserve">  ★ 세부사항 내 (지원기준)의 안내 링크를 통해 학위과정 및 전공별 세부 지원 기준을 반드시 확인할 것</t>
    </r>
    <phoneticPr fontId="8" type="noConversion"/>
  </si>
  <si>
    <t xml:space="preserve">1. 전공기준 : 전공매칭 권장 - 파견대학 소속 희망 전공 관련 학문적 배경(본/복수/부전공) 필요
2. 성적기준 : 교환학생 지원 시점 기준 직전학기 학사경고자 지원 불가
3. 어학기준 :
(영어) TOEFL iBT 57 / TOEFL ITP 457 / IELTS 4.0 / TOEIC 550
(중국어) HSK Level 4 </t>
    <phoneticPr fontId="8" type="noConversion"/>
  </si>
  <si>
    <t>1. 전공기준 : 전공매칭 필수 - 파견대학 소속 희망 전공 관련 학문적 배경(본/복수/부전공) 필요
2. 성적기준 : 평점평균 4.5 만점 기준 3.5 이상
3. 어학기준 :
(영어) TOEFL iBT 72 / TOEFL ITP 543 / IELTS 5.5
(독일어) Zertifikat Deutsch(ZD) B2
4. 특이사항 :  파견시점 기준 3학년 이상(4학기 이상 이수) 학생만 지원 가능</t>
    <phoneticPr fontId="8" type="noConversion"/>
  </si>
  <si>
    <t>1. 전공기준 : 전공매칭 권장 - 파견대학 소속 희망 전공 관련 학문적 배경(본/복수/부전공) 필요
  ※ 세부사항 내 (제한사항) 참고
2. 성적기준 : 교환학생 지원 시점 기준 직전학기 학사경고자 지원 불가
3. 어학기준 :
(영어) TOEFL iBT 79 / TOEFL ITP 543 / IELTS 6.0 / TOEIC 785(LC 400, RC 385)
  ※ 특정 분야의 경우 보다 높은 또는 추가 어학성적을 요구하며, 세부사항의 (제한사항) 참고
  ※ TOEFL My Best Score 점수 인정, IELTS One Skill Retake 인정
(독일어)
- (정규 학위과정) ZD B2 
4. 특이사항 :  파견시점 기준 3학년 이상(4학기 이상 이수) 학생만 지원 가능</t>
    <phoneticPr fontId="8" type="noConversion"/>
  </si>
  <si>
    <t>1. 전공기준 : 전공매칭 필수 - 파견대학 소속 희망 단과대학(전공) 관련 학문적 배경(본/복수전공) 필요
2. 성적기준 : 교환학생 지원 시점 기준 직전학기 학사경고자 지원 불가
3. 어학기준 :
(영어) TOEFL iBT 80 / IELTS 6.0
(독일어) (독일어) ZD B2 
※ 아래 링크에서 지원 희망 전공의 어학 요건 확인 바람
https://international.ruhr-uni-bochum.de/sites/international.ruhr-uni-bochum.de/files/2025-06/%C3%9Cbersicht%20Sprachnachweise_Englisch_0.pdf</t>
    <phoneticPr fontId="8" type="noConversion"/>
  </si>
  <si>
    <t xml:space="preserve">1. 전공기준 : 제한사항 없음
2. 성적기준 : 교환학생 지원 시점 기준 직전학기 학사경고자 지원 불가
3. 어학기준 :
(영어) TOEFL iBT 80 / IELTS 6.0
(독일어) ZD B2 </t>
    <phoneticPr fontId="8" type="noConversion"/>
  </si>
  <si>
    <r>
      <t xml:space="preserve">1. 전공기준 : 전공매칭 필수 - </t>
    </r>
    <r>
      <rPr>
        <u/>
        <sz val="10"/>
        <color rgb="FF000000"/>
        <rFont val="맑은 고딕"/>
        <family val="3"/>
        <charset val="129"/>
      </rPr>
      <t>경영학</t>
    </r>
    <r>
      <rPr>
        <sz val="10"/>
        <color rgb="FF000000"/>
        <rFont val="맑은 고딕"/>
        <family val="3"/>
        <charset val="129"/>
      </rPr>
      <t xml:space="preserve"> 본/복수전공
2. 성적기준 : 교환학생 지원 시점 기준 직전학기 학사경고자 지원 불가
3. 어학기준 :
(영어) TOEFL iBT 72 / TOEFL ITP 543 / IELTS 5.5
(독일어) ZD B2 </t>
    </r>
    <phoneticPr fontId="8" type="noConversion"/>
  </si>
  <si>
    <t>1. 전공기준 : 전공매칭 필수 - 파견대학 소속 희망 전공 관련 학문적 배경(본/복수/부전공) 필요
2. 성적기준 : 교환학생 지원 시점 기준 직전학기 학사경고자 지원 불가
3. 어학기준 :
(영어) TOEFL iBT 80 / TOEFL ITP 600 / IELTS 6.0</t>
    <phoneticPr fontId="8" type="noConversion"/>
  </si>
  <si>
    <t>1. 전공기준 : 전공매칭 필수 - 파견대학 특정 전공에만 지원 및 소속 가능하며, 지원 분야 관련 학문적 배경(본/복수/부전공) 필요
  ※ 세부사항 내 (가능전공) 및 (제한사항) 참고
2. 성적기준 : 교환학생 지원 시점 기준 직전학기 학사경고자 지원 불가
3. 어학기준 :
(영어) TOEFL iBT 75 / TOEFL ITP 543 / IELTS 5.5 / TOEIC 785
 * TOEFL IBT '26.1.21. 이후 성적 취득자: overall 4
(독일어) ZD B2 
  ※ English Studies 지원 희망할 경우, '영어'로 지원 필수</t>
    <phoneticPr fontId="8" type="noConversion"/>
  </si>
  <si>
    <t>1. 전공기준 : 전공매칭 권장 - 파견대학 소속 희망 전공 관련 학문적 배경(본/복수/부전공) 필요
2. 성적기준 : 교환학생 지원 시점 기준 직전학기 학사경고자 지원 불가
3. 어학기준 :
(영어)
- (정규 학위과정) TOEFL iBT 72 / TOEFL ITP 543 / IELTS 5.5
(독일어)
- (정규 학위과정) ZD B2 
- (독일어 어학과정) ZD A2 
4. 특이사항 : 파견시점 기준 2학년 이상(2학기 이상 이수) 학생만 지원 가능</t>
    <phoneticPr fontId="8" type="noConversion"/>
  </si>
  <si>
    <r>
      <t xml:space="preserve">1. 전공기준 : 전공매칭 권장 - 파견대학 소속 희망 전공 관련 학문적 배경(본/복수/부전공) 필요
  ※ 세부사항 내 (제한사항) 참고
2. 성적기준 : 교환학생 지원 시점 기준 직전학기 학사경고자 지원 불가
3. 어학기준 :
(영어)
- (정규 학위과정) TOEFL iBT 72 이상
(독일어)
- (정규 학위과정) 인문사회계열 ZD B2 이상/ 이공계열 ZD B1 이상
- (독일어 어학과정) </t>
    </r>
    <r>
      <rPr>
        <u/>
        <sz val="10"/>
        <rFont val="맑은 고딕"/>
        <family val="3"/>
        <charset val="129"/>
      </rPr>
      <t>독일어 학습 희망자</t>
    </r>
    <r>
      <rPr>
        <sz val="10"/>
        <rFont val="맑은 고딕"/>
        <family val="3"/>
        <charset val="129"/>
      </rPr>
      <t xml:space="preserve">
  ※ 어학과정으로 지원 시, 영어 및 독일어 정규 학위과정 수업 수강 불가
  ※ 언어별, 과정별 선발 우선순위는 세부사항 (우대사항) 참고
4. 특이사항 :  파견시점 기준 3학기 이상 이수 학생만 지원 가능</t>
    </r>
    <phoneticPr fontId="8" type="noConversion"/>
  </si>
  <si>
    <t>1. 전공기준 : 전공매칭 필수 - 경영·관광 관련 학문적 배경(본/복수/부전공)
2. 성적기준 : 평점평균 4.5 만점 기준 3.0 이상
3. 어학기준 :
(영어) TOEFL IBT 71 / IELTS 5.5
(독일어) ZD B2 이상
4. 특이사항 : 최소 2학기 이상 이수 학생만 지원 가능</t>
    <phoneticPr fontId="8" type="noConversion"/>
  </si>
  <si>
    <t>1. 전공기준 : 전공매칭 필수- 사회과학대학 한정
2. 성적기준 : 교환학생 지원 시점 기준 직전학기 학사경고자 지원 불가
3. 어학기준 :
(영어) TOEFL iBT 79 / TOEFL ITP 543 / IELTS 6.0
  ※ 특정 분야의 경우 보다 높은 어학성적을 요구하며, 세부사항의 (제한사항) 참고</t>
    <phoneticPr fontId="8" type="noConversion"/>
  </si>
  <si>
    <r>
      <t xml:space="preserve">1. 전공기준 : 파견대학 일부 전공 지원 제한
  ※ 세부사항 내 (제한사항) 참고
2. 성적기준 : 교환학생 지원 시점 기준 직전학기 학사경고자 지원 불가
3. 어학기준 :
(영어) TOEFL iBT 72 ('26.01.21. 이후 4) / TOEFL ITP 543 / IELTS 5.5 / TOEIC 785(LC 400, RC 385 ) 
 </t>
    </r>
    <r>
      <rPr>
        <b/>
        <u/>
        <sz val="10"/>
        <color rgb="FFFF0000"/>
        <rFont val="맑은 고딕"/>
        <family val="3"/>
        <charset val="129"/>
      </rPr>
      <t>+ 독일어 기초능력 증빙</t>
    </r>
    <r>
      <rPr>
        <sz val="10"/>
        <color rgb="FF000000"/>
        <rFont val="맑은 고딕"/>
        <family val="3"/>
        <charset val="129"/>
      </rPr>
      <t xml:space="preserve">
</t>
    </r>
    <r>
      <rPr>
        <sz val="10"/>
        <color rgb="FFFF0000"/>
        <rFont val="맑은 고딕"/>
        <family val="3"/>
        <charset val="129"/>
      </rPr>
      <t xml:space="preserve"> ※ </t>
    </r>
    <r>
      <rPr>
        <u/>
        <sz val="10"/>
        <color rgb="FFFF0000"/>
        <rFont val="맑은 고딕"/>
        <family val="3"/>
        <charset val="129"/>
      </rPr>
      <t>영어 지원자는 독일어 기초능력을 반드시 함께 증빙해야 하며</t>
    </r>
    <r>
      <rPr>
        <sz val="10"/>
        <color rgb="FFFF0000"/>
        <rFont val="맑은 고딕"/>
        <family val="3"/>
        <charset val="129"/>
      </rPr>
      <t xml:space="preserve">, 세부사항의 (증빙자료) 부분을 참고하여 서류 추가 제출 요망
</t>
    </r>
    <r>
      <rPr>
        <sz val="10"/>
        <color rgb="FF000000"/>
        <rFont val="맑은 고딕"/>
        <family val="3"/>
        <charset val="129"/>
      </rPr>
      <t>(독일어)
- (정규 학위과정) DaF TDN3 / onDaF 110-115 / ZD B2 이상
- (독일어 어학과정) onDaF 75-80 / ZD B1 이상
  ※ 어학과정으로 지원 시, 정규 학위과정 강의(언어 무관) 수강 불가</t>
    </r>
    <phoneticPr fontId="8" type="noConversion"/>
  </si>
  <si>
    <t xml:space="preserve">1. 전공기준 : 제한사항 없음
2. 성적기준 : 평점평균 4.5 만점 기준 3.0 이상
3. 어학기준 :
(영어) TOEFL iBT 72 / IELTS 5.5
(독일어) ZD B2 </t>
    <phoneticPr fontId="8" type="noConversion"/>
  </si>
  <si>
    <t xml:space="preserve">1. 전공기준 : 제한사항 없음
2. 성적기준 : 교환학생 지원 시점 기준 직전학기 학사경고자 지원 불가
3. 어학기준 :
(영어) TOEFL iBT 42 / TOEFL ITP 433 / IELTS 4.0 / TOEIC 550 
(독일어) ZD B1 </t>
    <phoneticPr fontId="8" type="noConversion"/>
  </si>
  <si>
    <r>
      <t xml:space="preserve">1. 전공기준 : 전공매칭 권장 - 파견대학 소속 희망 전공 관련 학문적 배경(본/복수/부전공) 필요
2. 성적기준 : 교환학생 지원 시점 기준 직전학기 학사경고자 지원 불가
3. 어학기준 :
(영어) TOEFL iBT 42 / TOEFL ITP 460 / IELTS 4.0 / </t>
    </r>
    <r>
      <rPr>
        <u/>
        <sz val="10"/>
        <color rgb="FF000000"/>
        <rFont val="맑은 고딕"/>
        <family val="3"/>
        <charset val="129"/>
      </rPr>
      <t>TOEIC L&amp;R 550, S 120, W 120(2개 시험 성적표 전체 제출)</t>
    </r>
    <r>
      <rPr>
        <sz val="10"/>
        <color rgb="FF000000"/>
        <rFont val="맑은 고딕"/>
        <family val="3"/>
        <charset val="129"/>
      </rPr>
      <t xml:space="preserve">
  ※ 아래 단대/전공의 경우 보다 상향된 어학기준 충족 필요
  A. Department for English Studies/Education/European Studies) : TOEFL iBT 72 또는 TOEFL ITP 543 / IELTS 5.5 
(독일어) Zertifikat Deutsch(ZD) B1 이상
  ※ German Studies 관련 과목 수강 희망자의 경우, ZD B2 이상</t>
    </r>
    <phoneticPr fontId="8" type="noConversion"/>
  </si>
  <si>
    <t xml:space="preserve">1. 전공기준 : 전공매칭 필수 - 파견대학 소속 희망 전공 관련 학문적 배경(본/복수/부전공) 필요
2. 성적기준 : 평점평균 4.5 만점 기준 3.0 이상
3. 어학기준 :
(영어) TOEFL iBT 85 / IELTS 6.5 / TOEIC 865(L/R)&amp;(S170/W160)
(독일어) ZD B2 </t>
    <phoneticPr fontId="8" type="noConversion"/>
  </si>
  <si>
    <t>1. 전공기준 : 전공매칭 필수 - 파견대학 소속 희망 전공 관련 학문적 배경(본/복수/부전공) 필요
2. 성적기준 : 교환학생 지원 시점 기준 직전학기 학사경고자 지원 불가
3. 어학기준 :
(영어) TOEFL iBT 71 / IELTS 5.0
(독일어) ZD B1</t>
    <phoneticPr fontId="8" type="noConversion"/>
  </si>
  <si>
    <t xml:space="preserve">1. 전공기준 : 제한 없음
2. 성적기준 : 교환학생 지원 시점 기준 직전학기 학사경고자 지원 불가
3. 어학기준 :
(영어) TOEFL iBT 57 / IELTS 4.5
  ※ 가능전공의 안내 및 관련 링크를 통해 지원 예정 전공의 세부 어학기준을 반드시 확인 후 지원
(독일어) ZD B1 </t>
    <phoneticPr fontId="8" type="noConversion"/>
  </si>
  <si>
    <r>
      <t xml:space="preserve">1. 전공기준 : 전공매칭 권장 - 파견대학 소속 희망 전공 관련 학문적 배경(본/복수/부전공) 필요
2. 성적기준 : 평점평균 4.5 만점 기준 3.0 이상
3. 어학기준 :
</t>
    </r>
    <r>
      <rPr>
        <sz val="10"/>
        <rFont val="맑은 고딕"/>
        <family val="3"/>
        <charset val="129"/>
      </rPr>
      <t xml:space="preserve">(영어) 
 - 정규과정: TOEFL iBT 72 / IELTS 5.5
 - GSTEP program: TOEFL IBT 80 / IELTS 6.0 
</t>
    </r>
    <r>
      <rPr>
        <sz val="10"/>
        <color rgb="FF000000"/>
        <rFont val="맑은 고딕"/>
        <family val="3"/>
        <charset val="129"/>
      </rPr>
      <t>(독일어) ZD B1 
4. 특이사항
 - GSTEP program 지원자는 6학기 이상 이수 학생만 지원 가능 
 - 전공에 따라 어학성적 기준 다를 수 있음(상향). 전공별 세부사항 확인 바람
  (참고) https://www.uni-frankfurt.de/122913225/Before_your_Mobility_to_Frankfurt#InfoFb</t>
    </r>
    <phoneticPr fontId="8" type="noConversion"/>
  </si>
  <si>
    <t>1. 전공기준 : 전공매칭 필수 - 파견대학 소속 희망 전공 관련 학문적 배경(본/복수/부전공) 필요
2. 성적기준 : 평점평균 4.5 만점 기준 3.0 이상
3. 어학기준 :
(영어) TOEFL iBT 72 / TOEFL ITP 543 / IELTS 5.5 / TOEIC 785 
  ※ 건축전공(학부) 지원자의 경우, 독일어 ZD A2 이상 의무(추가) 충족</t>
    <phoneticPr fontId="8" type="noConversion"/>
  </si>
  <si>
    <t>1. 전공기준 : 전공매칭 권장 - 파견대학 소속 희망 전공 관련 학문적 배경(본/복수/부전공) 필요
2. 성적기준 : 교환학생 지원 시점 기준 직전학기 학사경고자 지원 불가
3. 어학기준 :
(영어) TOEFL iBT 86 ('26.01.21.이후 4.5) / IELTS 6.0
(독일어) ZD B1</t>
    <phoneticPr fontId="8" type="noConversion"/>
  </si>
  <si>
    <t>1. 전공기준 : 전공매칭 필수 - 파견대학 소속 희망 단과대학(전공) 관련 학문적 배경(본/복수전공) 필요
2. 성적기준 : 교환학생 지원 시점 기준 직전학기 학사경고자 지원 불가
3. 어학기준 :
(영어) TOEFL iBT 72 / TOEFL ITP 543 / IELTS 6.0
(독일어) ZD B2</t>
    <phoneticPr fontId="8" type="noConversion"/>
  </si>
  <si>
    <t>1. 전공기준 : 전공제한 없음
2. 성적기준 : 평점평균 4.5점 기준 3.5 이상
3. 어학기준 : 
(영어) TOEFL iBT 72 / IELTS 6 / TOEFL ITP 543</t>
    <phoneticPr fontId="8" type="noConversion"/>
  </si>
  <si>
    <t>1. 전공기준 : 제한 없음
2. 성적기준 : 평점평균 4.5 만점 기준 3.2 이상
3. 어학기준 :
(영어) TOEFL iBT 72('26.01.21.이후 4) / TOEFL ITP 543 / IELTS 5.5 / TOEIC 785</t>
    <phoneticPr fontId="8" type="noConversion"/>
  </si>
  <si>
    <t xml:space="preserve">1. 전공기준 : 전공매칭 필수 - 파견대학 소속 희망 전공 관련 학문적 배경(본/복수/부전공) 필요
2. 성적기준 : 교환학생 지원 시점 기준 직전학기 학사경고자 지원 불가
3. 어학기준 :
(영어)  TOEFL iBT 72 / TOEFL ITP 550 / IELTS 5.5 / TOEIC 785 </t>
    <phoneticPr fontId="8" type="noConversion"/>
  </si>
  <si>
    <r>
      <t xml:space="preserve">1. 전공기준 : 제한 없음
2. 성적기준 : 교환학생 지원 시점 기준 직전학기 학사경고자 지원 불가
3. 어학기준 : </t>
    </r>
    <r>
      <rPr>
        <sz val="10"/>
        <color rgb="FFFF0000"/>
        <rFont val="맑은 고딕"/>
        <family val="3"/>
        <charset val="129"/>
      </rPr>
      <t xml:space="preserve">
</t>
    </r>
    <r>
      <rPr>
        <sz val="10"/>
        <color rgb="FF000000"/>
        <rFont val="맑은 고딕"/>
        <family val="3"/>
        <charset val="129"/>
      </rPr>
      <t>(스페인어)
- (정규 학위과정) DELE B2 이상
- (스페인어 어학과정) 스페인어 학습 희망자</t>
    </r>
    <phoneticPr fontId="8" type="noConversion"/>
  </si>
  <si>
    <r>
      <t xml:space="preserve">1. 전공기준 : 제한 없음
2. 성적기준 : 평점평균 4.5 만점 기준 3.0 이상
3. 어학기준 :
(영어) TOEFL iBT 71 ('26.01.21. 이후 4) / TOEFL ITP 543 / IELTS 6.0
</t>
    </r>
    <r>
      <rPr>
        <b/>
        <sz val="10"/>
        <color rgb="FFFF0000"/>
        <rFont val="맑은 고딕"/>
        <family val="3"/>
        <charset val="129"/>
      </rPr>
      <t>※ 이공계 1명 우선 선발(지원 전 유의사항 필독)</t>
    </r>
    <phoneticPr fontId="8" type="noConversion"/>
  </si>
  <si>
    <r>
      <t xml:space="preserve">1. 전공기준 : 제한 없음
2. 성적기준 : 평점평균 4.5 만점 기준 3.0 이상
3. 어학기준 : 
(영어) TOEFL iBT 69 / IELTS 6.0 
 * TOEFL IBT '26.1.21. 이후 성적 취득자: overall 4
  ※ TOEFL My Best Score 및 IELTS One Skill Retake 인정 가능
</t>
    </r>
    <r>
      <rPr>
        <b/>
        <sz val="10"/>
        <color rgb="FFFF0000"/>
        <rFont val="맑은 고딕"/>
        <family val="3"/>
        <charset val="129"/>
      </rPr>
      <t>※ 이공계 1명 우선 선발(지원 전 유의사항 필독)</t>
    </r>
    <phoneticPr fontId="8" type="noConversion"/>
  </si>
  <si>
    <r>
      <t xml:space="preserve">1. 전공기준 : 전공매칭 필수 - 파견대학 소속 희망 전공 관련 학문적 배경(본/복수/부전공) 필요
2. 성적기준 : 평점평균 4.5 만점 기준 3.0 이상
3. 어학기준 :
(영어) TOEFL iBT 61 / IELTS 6.0
</t>
    </r>
    <r>
      <rPr>
        <b/>
        <sz val="10"/>
        <color rgb="FFFF0000"/>
        <rFont val="맑은 고딕"/>
        <family val="3"/>
        <charset val="129"/>
      </rPr>
      <t>※ 이공계 1명 우선 선발(지원 전 유의사항 필독)</t>
    </r>
    <phoneticPr fontId="8" type="noConversion"/>
  </si>
  <si>
    <t>1. 전공기준 : 전공매칭 필수 - 상경계열 본/복수전공
2. 성적기준 : 교환학생 지원 시점 기준 직전학기 학사경고자 지원 불가
3. 어학기준 :
(영어) TOEFL iBT 79/ IELTS 6 / TOEFL ITP 550</t>
    <phoneticPr fontId="8" type="noConversion"/>
  </si>
  <si>
    <t xml:space="preserve">1. 전공기준 : 전공매칭 필수 - 파견대학 소속 희망 전공 관련 학문적 배경(본/복수/부전공) 필요
2. 성적기준 : 교환학생 지원 시점 기준 직전학기 학사경고자 지원 불가
3. 어학기준 : 
(영어) TOEFL iBT 72 / TOEFL ITP 543 / IELTS 5.5
(프랑스어) DELF B2 </t>
    <phoneticPr fontId="8" type="noConversion"/>
  </si>
  <si>
    <r>
      <t>1. 전공기준 : 전공매칭 필수 - 파견대학 소속 희망 전공 관련 학문적 배경(본/복수/부전공) 필요
2. 성적기준 : 교환학생 지원 시점 기준 직전학기 학사경고자 지원 불가
3. 어학기준 :
(영어) TOEFL iBT 90(W 20) / IELTS 6.5 (각 영역 5.5)
 ※</t>
    </r>
    <r>
      <rPr>
        <u/>
        <sz val="10"/>
        <rFont val="맑은 고딕"/>
        <family val="3"/>
        <charset val="129"/>
      </rPr>
      <t xml:space="preserve"> IELTS one skill retake 인정 불가</t>
    </r>
    <r>
      <rPr>
        <sz val="10"/>
        <rFont val="맑은 고딕"/>
        <family val="3"/>
        <charset val="129"/>
      </rPr>
      <t xml:space="preserve">, </t>
    </r>
    <r>
      <rPr>
        <u/>
        <sz val="10"/>
        <rFont val="맑은 고딕"/>
        <family val="3"/>
        <charset val="129"/>
      </rPr>
      <t>TOEFL my best score 인정 불가</t>
    </r>
    <phoneticPr fontId="8" type="noConversion"/>
  </si>
  <si>
    <t>1. 전공기준 : 제한 없음
2. 성적기준 : 교환학생 지원 시점 기준 직전학기 학사경고자 지원 불가
3. 어학기준 :
(영어) TOEFL iBT 72 / TOEFL ITP 543 / IELTS 6.0</t>
    <phoneticPr fontId="8" type="noConversion"/>
  </si>
  <si>
    <t>1. 전공기준 : 제한사항 없음
2. 성적기준 : 교환학생 지원 시점 기준 직전학기 학사경고자 지원 불가
3. 어학기준 :
(영어) TOEFL iBT 72 / TOEFL ITP 543 / IELTS 5.5</t>
    <phoneticPr fontId="8" type="noConversion"/>
  </si>
  <si>
    <t>1. 전공기준 : 제한 없음
2. 성적기준 : 교환학생 지원 시점 기준 직전학기 학사경고자 지원 불가
3. 어학기준 :
(영어) TOEFL iBT 72 / TOEFL ITP 543 / IELTS 5.5
(스페인어) DELE B1</t>
    <phoneticPr fontId="8" type="noConversion"/>
  </si>
  <si>
    <t>1. 전공기준 : 전공매칭 필수 - 파견대학 소속 희망 전공 관련 학문적 배경(본/복수/부전공) 필요
2. 성적기준 : 평점평균 4.5 만점 기준 3.0 이상
3. 어학기준 :
(영어)
- (원칙) TOEFL iBT 93(R 22, W 22) / IELTS 7.0(R 7.0, W 6.5)
 ※ (TOEFL '26.01.21. 이후 성적 취득자) Overall score 5 (R 5, W 4.5)
4. 특이사항 : 최소 2학기 이상 이수 학생만 지원 가능</t>
    <phoneticPr fontId="8" type="noConversion"/>
  </si>
  <si>
    <t>1. 전공기준 : 제한사항 없음
2. 성적기준 : 평점평균 4.5 만점 기준 3.5 이상
3. 어학기준 :
(영어) TOEFL iBT 88 (L18, R18, S21, W22)  / IELTS 6.5 (각 영역 6.0 ) 
  ※ 영역별 최저점 등 소속 과정별 기준이 상이하므로, 아래 링크의 안내사항을 반드시 확인하고 지원 가능 여부를 판단
  ※ https://www.universityofgalway.ie/global-galway/studyinireland/entryrequirements/
4. 특이사항 :  파견시점 기준 3학년 이상(4학기 이상 이수) 학생만 지원 가능</t>
    <phoneticPr fontId="8" type="noConversion"/>
  </si>
  <si>
    <t xml:space="preserve">1. 전공기준 : 제한 없음
2. 성적기준 : 평점평균 4.5 만점 기준 3.5 이상
3. 어학기준 :
(영어) TOEFL iBT 75 / IELTS 6.0(각 영역 5.5) 
    ※ '26.01.21.이후 TOEFL iBT 4 (S 4, R 3.5, L 3.5, W 3.5) </t>
    <phoneticPr fontId="8" type="noConversion"/>
  </si>
  <si>
    <t>1. 전공기준 : 제한 없음
2. 성적기준 : 평점평균 4.5 만점 기준 3.0 이상
(영어) TOEFL iBT 72 / TOEFL ITP 543 / IELTS 6.0
(스페인어)
- (정규 학위과정) DELE B2 이상</t>
    <phoneticPr fontId="8" type="noConversion"/>
  </si>
  <si>
    <t>1. 전공기준 : 전공매칭 권장 - 파견대학 소속 희망 전공 관련 학문적 배경(본/복수/부전공) 필요
2. 성적기준 : 교환학생 지원 시점 기준 직전학기 학사경고자 지원 불가
3. 어학기준 :
(영어) TOEFL iBT 80(R 10, L 10, S 17, W 19 ) / IELTS 6.0(각 영역 5.5 ) 
  ※ (TOEFL '26.01.21.이후 성적 취득자) Overall score 4.5 이상 (S, L, R, W 4.0 이상)</t>
    <phoneticPr fontId="8" type="noConversion"/>
  </si>
  <si>
    <t>1. 전공기준 : 제한 없음
2. 성적기준 : 평점평균 4.5 만점 기준 3.3 이상
3. 어학기준 :
(영어) 
 - TOEFL iBT 80(L 17, R 18, S 20, W 17) / IELTS 6.0(각 영역 5.5)
 * TOEFL IBT '26.1.21. 이후 성적 취득자: overall 4 (L 4, R 4, S 4, W 4)
  ※ 모든 어학성적은 개강월 기준 2년 이내의 성적만 인정
  ※ TOEFL Home Edition 인정 가능
  ※ IELTS One Skill Retake로 지원 가능(단, IELTS 6.0 이며 전 영역 5.5)</t>
    <phoneticPr fontId="8" type="noConversion"/>
  </si>
  <si>
    <t>1. 전공기준 : 제한 없음
2. 성적기준 : 교환학생 지원 시점 기준 직전학기 학사경고자 지원 불가
3. 어학기준 :
(영어) TOEFL iBT 82(S 20, R 18, L 17, W 17) 또는 IELTS 6.0(각 영역 5.5 이상) 이상
  ※ '26.01.21. 이후 TOEFL iBT 4(각 영역 4)
  ※ TOEFL My Best Score 및 IELTS One Skill Retake 인정 가능</t>
    <phoneticPr fontId="8" type="noConversion"/>
  </si>
  <si>
    <t>1. 전공기준 : 전공매칭 권장 - 파견대학 소속 희망 전공 관련 학문적 배경(본/복수/부전공) 필요
2. 성적기준 : 평점평균 4.5 만점 기준 3.3 이상
3. 어학기준 :
(영어) IELTS 6.0(각 영역 5.5) / TOEFL iBT 79 (L17, R18, S20, W17)</t>
    <phoneticPr fontId="8" type="noConversion"/>
  </si>
  <si>
    <r>
      <t xml:space="preserve">1. 전공기준 : 파견대학 </t>
    </r>
    <r>
      <rPr>
        <u/>
        <sz val="10"/>
        <color rgb="FF000000"/>
        <rFont val="맑은 고딕"/>
        <family val="3"/>
        <charset val="129"/>
      </rPr>
      <t>일부 전공</t>
    </r>
    <r>
      <rPr>
        <sz val="10"/>
        <color rgb="FF000000"/>
        <rFont val="맑은 고딕"/>
        <family val="3"/>
        <charset val="129"/>
      </rPr>
      <t xml:space="preserve"> 전공매칭 필수 및 관련 학문적 배경 필요
  ※ 세부사항 내 (제한사항) 참고
2. 성적기준 : 교환학생 지원 시점 기준 직전학기 학사경고자 지원 불가
3. </t>
    </r>
    <r>
      <rPr>
        <sz val="10"/>
        <rFont val="맑은 고딕"/>
        <family val="3"/>
        <charset val="129"/>
      </rPr>
      <t>어학기준 :
(영어) TOEFL iBT 85(각 영역 20) / IELTS 6.5(각 영역 6.5)
         '26.01.21.이후 TOEFL iBT 5.5</t>
    </r>
    <r>
      <rPr>
        <sz val="10"/>
        <color rgb="FF000000"/>
        <rFont val="맑은 고딕"/>
        <family val="3"/>
        <charset val="129"/>
      </rPr>
      <t>(각 영역 5.5)</t>
    </r>
    <phoneticPr fontId="8" type="noConversion"/>
  </si>
  <si>
    <t xml:space="preserve">1. 전공기준 : 제한 없음
2. 성적기준 : 교환학생 지원 시점 기준 직전학기 학사경고자 지원 불가
3. 어학기준 :
(영어) TOEFL iBT 72 / IELTS 5.5 
</t>
    <phoneticPr fontId="8" type="noConversion"/>
  </si>
  <si>
    <t>1. 전공기준 : 제한 없음
2. 성적기준 : 교환학생 지원 시점 기준 직전학기 학사경고자 지원 불가
3. 어학기준 :
(이탈리아어)
- (일반 전공강의) CILS B2
- (이탈리아어 어학과정) 이탈리아어 학습 희망자
4. 특이사항 :  '인문학부(Dept. of Humanities(DiSU)'가 해당 대학의 유일한 단대/학부로, 산하에 학부 및 대학원 각 2개 과정 운영 중</t>
    <phoneticPr fontId="8" type="noConversion"/>
  </si>
  <si>
    <t>1. 전공기준 : 제한 없음
2. 성적기준 : 평점평균 4.5 만점 기준 3.5 이상
3. 어학기준 :
(영어) TOEFL iBT 80 / TOEFL ITP 550 / IELTS 6.0
4. 특이사항 : 파견시점 기준 2학년 이상(2학기 이상 이수) 학생만 지원 가능</t>
    <phoneticPr fontId="8" type="noConversion"/>
  </si>
  <si>
    <t>1. 전공기준 : 전공매칭 권장 - 파견대학 소속 희망 전공 관련 학문적 배경(본/복수/부전공) 필요
2. 성적기준 : 평점평균 4.5 만점 기준 3.5 이상
3. 어학기준 :
(영어) TOEFL iBT 72 / TOEIC L&amp;R 700 / IELTS 5.5
＊TOEFL IBT('26.01.21. 이후) overall 4
(일본어) JLPT N2 이상 
※대학원생일 경우 특정분야는 JLPT N1 충족해야 함(세부사항 지원자격 참고)</t>
    <phoneticPr fontId="8" type="noConversion"/>
  </si>
  <si>
    <t xml:space="preserve">1. 전공기준 : 제한 없음
2. 성적기준 : 평점평균 4.5만점 기준 3.5 이상
3. 어학기준 : 지원 언어별로 소속 가능 프로그램이 상이함에 유의
(영어) TOEFL iBT 79 / IELTS 6.0
＊TOEFL IBT('26.01.21. 이후) overall 4
- (가능 프로그램) Keio International Program (KIP)
(일본어) 가나문자를 숙지한, 일본어 학습 희망자
- (가능 프로그램) Japanese Language Program (JLP) </t>
    <phoneticPr fontId="8" type="noConversion"/>
  </si>
  <si>
    <t>1. 전공기준 : 제한 없음
2. 성적기준 : 교환학생 지원 시점 기준 직전학기 학사경고자 지원 불가
3. 어학기준 :
(영어) TOEFL iBT 72 / TOEFL ITP 550 / IELTS 5.5 / TOEIC 785
(일본어) JLPT N2 이상</t>
    <phoneticPr fontId="8" type="noConversion"/>
  </si>
  <si>
    <t>1. 전공기준 : 제한 없음
2. 성적기준 : 교환학생 지원 시점 기준 직전학기 학사경고자 지원 불가
(일본어) JLPT N2</t>
    <phoneticPr fontId="8" type="noConversion"/>
  </si>
  <si>
    <t>1. 전공기준 : 파견대학 일부 전공 지원 제한
2. 성적기준 : 평점평균 4.5 만점 기준 2.5 이상 
3. 어학기준
- Study abroad at NUFS Undergraduate: 
  (일본어) JLPT N2 level</t>
    <phoneticPr fontId="8" type="noConversion"/>
  </si>
  <si>
    <t>1. 전공기준 : 전공매칭 필수 - 파견대학 소속 희망 전공 관련 학문적 배경(본/복수/부전공) 필요
2. 성적기준 : 평점평균 4.5 만점 기준 3.5 이상
3. 어학기준 :
(일본어) JLPT N2</t>
    <phoneticPr fontId="8" type="noConversion"/>
  </si>
  <si>
    <t>1. 전공기준 : 제한 없음
2. 성적기준 : 교환학생 지원 시점 기준 직전학기 학사경고자 지원 불가
3. 어학기준 :
(영어) TOEFL iBT 72 / TOEFL ITP 543 / IELTS 5.5 / TOEIC 785
(일본어) JLPT N2</t>
    <phoneticPr fontId="8" type="noConversion"/>
  </si>
  <si>
    <t>1. 전공기준 : 제한 없음
2. 성적기준 : 평점평균 4.5 만점 기준 3.3 이상
3. 어학기준 :
  ※ SPACE-SAGA/SE/ARITA/AG 지원자
     (영어) TOEFL iBT 72 / TOEFL ITP 530 / IELTS 5.5 / TOEIC 740 
  ※ SPACE-ECON/General Exchange Student 지원자
     (일본어) JLPT N2
4. 특이사항 : "SPACE-SE/ARITA/AG" 프로그램은 파견시점 기준 3학년 이상(4학기 이상 이수) 학생만 지원 가능</t>
    <phoneticPr fontId="8" type="noConversion"/>
  </si>
  <si>
    <t>1. 전공기준 : 전공매칭 필수 - 파견대학 소속 희망 전공 관련 학문적 배경(본/복수전공) 필요
2. 성적기준 : 평점평균 4.5 만점 기준 2.9 이상
3. 어학기준 :
(영어) TOEFL iBT 65 / TOEFL ITP 530 / IELTS 5.5 
(일본어) JLPT N2 이상
4. 특이사항 : (학부)최소 4학기 이상 이수 학생만 지원 가능</t>
    <phoneticPr fontId="8" type="noConversion"/>
  </si>
  <si>
    <t xml:space="preserve">1. 전공기준 : 전공매칭 필수 - 파견대학 소속 희망 전공 관련 학문적 배경(본/복수/부전공) 필요
2. 성적기준 : 교환학생 지원 시점 기준 직전학기 학사경고자 지원 불가
3. 어학기준 :
(영어) 영어 실력이 유창한 자
  ※ 별도 기준은 없으나, 영어로 수업(학습)이 가능한 정도여야 함
(일본어) 
- (정규 학위과정) : JLPT N2 이상
- (Japanese language program) : 일본어 실력이 유창한 자(별도 기준은 없으나, 일본어로 수업(학습)이 가능한 정도여야 함)
</t>
    <phoneticPr fontId="8" type="noConversion"/>
  </si>
  <si>
    <t xml:space="preserve">1. 전공기준 : 제한사항 없음
2. 성적기준 : 평점평균 4.5 만점 기준 3.0 이상
3. 어학기준 : 
(영어) TOEFL iBT 55 / TOEIC 700 / IELTS 5.7 
(일본어) JLPT N2 </t>
    <phoneticPr fontId="8" type="noConversion"/>
  </si>
  <si>
    <r>
      <t xml:space="preserve">1. 전공기준 : </t>
    </r>
    <r>
      <rPr>
        <sz val="10"/>
        <color rgb="FF0000FF"/>
        <rFont val="맑은 고딕"/>
        <family val="3"/>
        <charset val="129"/>
      </rPr>
      <t>각 프로그램별 지원자격 및 지원전공 확인 필수</t>
    </r>
    <r>
      <rPr>
        <sz val="10"/>
        <color rgb="FF000000"/>
        <rFont val="맑은 고딕"/>
        <family val="3"/>
        <charset val="129"/>
      </rPr>
      <t xml:space="preserve">
2. 성적기준 : 평점평균 4.5만점 기준 3.5 이상
3. 어학기준 : 
(영어) TOEFL iBT 80 / IELTS 6.0  (OUSSEP 트랙)
(일본어) JLPT N2  (iExPO 트랙)</t>
    </r>
    <phoneticPr fontId="8" type="noConversion"/>
  </si>
  <si>
    <t xml:space="preserve">1. 전공기준 : 제한사항 없음
2. 성적기준 : 교환학생 지원 시점 기준 직전학기 학사경고자 지원 불가
3. 어학기준 : 
(영어) TOEFL iBT 61 / TOEFL ITP 500 / IELTS 6.0 
(일본어) JLPT N2 </t>
    <phoneticPr fontId="8" type="noConversion"/>
  </si>
  <si>
    <t>1. 전공기준 : 제한없음
2. 성적기준 : 교환학생 지원 시점 기준 직전학기 학사경고자 지원 불가
3. 어학기준 : 
(영어) TOEFL IBT 71
- (가능 프로그램) Modern Japan Track(MJT)
(일본어) 일본어 실력이 유창한 자(별도 기준은 없으나, 일본어로 수업(학습)이 가능한 정도여야 함
- (정규 학위과정) : JLPT N1 
- (가능 프로그램) Japanese Language Track(JLT)</t>
    <phoneticPr fontId="8" type="noConversion"/>
  </si>
  <si>
    <t>1. 전공기준 : 전공매칭 필수 - 파견대학 소속 희망 전공 관련 학문적 배경(본/복수/부전공) 필요
2. 성적기준 : 평점평균 4.5 만점 기준 3.7 이상
3. 어학기준 : 영어 또는 일본어 중 택 1
(영어) TOEFL iBT 79 / IELTS 6.0
(일본어) JLPT N1</t>
    <phoneticPr fontId="8" type="noConversion"/>
  </si>
  <si>
    <r>
      <t xml:space="preserve">1. 전공기준 : 전공매칭 필수 - 파견대학 특정 전공(단과대학)에만 지원 및 소속 가능하며, 지원 분야 관련 학문적 배경(본/복수/부전공) 필요
2. 성적기준 : 교환학생 지원 시점 기준 직전학기 학사경고자 지원 불가
3. 어학기준 : </t>
    </r>
    <r>
      <rPr>
        <sz val="10"/>
        <color rgb="FF0000FF"/>
        <rFont val="맑은 고딕"/>
        <family val="3"/>
        <charset val="129"/>
      </rPr>
      <t>지원 전공 및 학위과정 별로 상이</t>
    </r>
    <r>
      <rPr>
        <sz val="10"/>
        <color rgb="FF000000"/>
        <rFont val="맑은 고딕"/>
        <family val="3"/>
        <charset val="129"/>
      </rPr>
      <t xml:space="preserve">
(School of Engineering)
 - (영어) 지원 불가(영어강의 無)
 - (일본어)  학부 및 대학원, JLPT N2 
(School of Computer Science and Systems Engineering)
 - (영어) 지원 불가(영어강의 無)
 - (일본어)  학부 및 대학원, JLPT N2 
(</t>
    </r>
    <r>
      <rPr>
        <u/>
        <sz val="10"/>
        <color rgb="FF000000"/>
        <rFont val="맑은 고딕"/>
        <family val="3"/>
        <charset val="129"/>
      </rPr>
      <t>Graduate School</t>
    </r>
    <r>
      <rPr>
        <sz val="10"/>
        <color rgb="FF000000"/>
        <rFont val="맑은 고딕"/>
        <family val="3"/>
        <charset val="129"/>
      </rPr>
      <t xml:space="preserve"> of Life Science and Systems Engineering)
 - (일본어) 제한없음</t>
    </r>
    <phoneticPr fontId="8" type="noConversion"/>
  </si>
  <si>
    <t>1. 전공기준 : 제한 없음
2. 성적기준 : 교환학생 지원 시점 기준 직전학기 학사경고자 지원 불가
3. 어학기준 :
(영어) 영어 실력이 유창한 자
  ※ 별도 기준은 없으나, 영어로 수업(학습)이 가능한 정도여야 함
(일본어) 일본어 실력이 유창한 자
  ※ 별도 기준은 없으나, 일본어로 수업(학습)이 가능한 정도여야 함</t>
    <phoneticPr fontId="8" type="noConversion"/>
  </si>
  <si>
    <t>1. 전공기준 : 전공매칭 필수 - 파견대학 소속 희망 전공 관련 학문적 배경(본/복수/부전공) 필요
2. 성적기준 : 평점평균 4.5 만점 기준 3.0 이상
3. 어학기준 :
(영어) TOEFL iBT 75 / IELTS 6.0
(중국어)
- (일반 전공강의) HSK 4급 
- (중국어 어학과정) 중국어 학습 희망자</t>
    <phoneticPr fontId="8" type="noConversion"/>
  </si>
  <si>
    <t>1. 전공기준 : 전공매칭 필수 - 파견대학 소속 희망 전공 관련 학문적 배경(본/복수/부전공) 필요
2. 성적기준 : 평점평균 4.5 만점 기준 2.8 이상
3. 어학기준 :
(영어) TOEFL iBT 80 / IELTS 6.0 
(중국어)
- (일반 전공강의) HSK 4급 
- (중국어 어학과정) 중국어 학습 희망자
4. 특이사항 : 최소 2학기 이상 이수 학생만 지원 가능</t>
    <phoneticPr fontId="8" type="noConversion"/>
  </si>
  <si>
    <r>
      <t xml:space="preserve">1. 전공기준 : 전공매칭 필수
2. 성적기준 : 평점평균 4.5만점 기준 3.5이상
3. 어학기준 : 영어 또는 중국어 중 택 1
(영어) TOEFL iBT 90 ('26.1.21.이후 5.0) / IELTS 6.0
</t>
    </r>
    <r>
      <rPr>
        <sz val="10"/>
        <rFont val="맑은 고딕"/>
        <family val="3"/>
        <charset val="129"/>
      </rPr>
      <t xml:space="preserve">(중국어) HSK 5급(원본 성적표 제출 필수)
</t>
    </r>
    <r>
      <rPr>
        <sz val="10"/>
        <color rgb="FF000000"/>
        <rFont val="맑은 고딕"/>
        <family val="3"/>
        <charset val="129"/>
      </rPr>
      <t>4. 특이사항 :  중국 국적자 지원 불가, 소속대학에서 2학기 이상 이수자 지원 가능</t>
    </r>
    <phoneticPr fontId="8" type="noConversion"/>
  </si>
  <si>
    <r>
      <t xml:space="preserve">1. 전공기준 : 전공매칭 필수 - 파견대학 소속 희망 전공 관련 학문적 배경(본/복수/부전공) 필요
2. 성적기준 : 평점평균 4.5 만점 기준 3.9 이상
3. 어학기준 :
(영어) 영어 실력이 유창한 자
  ※ 별도 기준은 없으나, 우수한 수준의 대화 및 작문 실력 필요
</t>
    </r>
    <r>
      <rPr>
        <sz val="10"/>
        <color theme="1"/>
        <rFont val="맑은 고딕"/>
        <family val="3"/>
        <charset val="129"/>
      </rPr>
      <t xml:space="preserve">(중국어) HSK 5급 </t>
    </r>
    <r>
      <rPr>
        <sz val="10"/>
        <color rgb="FF000000"/>
        <rFont val="맑은 고딕"/>
        <family val="3"/>
        <charset val="129"/>
      </rPr>
      <t xml:space="preserve">
4. 특이사항 : 최소 4학기 이상 이수 학생만 지원 가능</t>
    </r>
    <phoneticPr fontId="8" type="noConversion"/>
  </si>
  <si>
    <t xml:space="preserve">1. 전공기준 : 전공매칭 필수 - 파견대학 소속 희망 전공 관련 학문적 배경(본/복수/부전공) 필요
2. 성적기준 : 평점평균 4.5 만점 기준 3.5 이상
3. 어학기준 : 
(영어) TOEFL IBT 90 / IELSTS 6.0
(중국어) HSK 6급 </t>
    <phoneticPr fontId="8" type="noConversion"/>
  </si>
  <si>
    <t>1. 전공기준 : 제한 없음
2. 성적기준 : 교환학생 지원 시점 기준 직전학기 학사경고자 지원 불가
3. 어학기준 :
(영어) TOEFL iBT 85 / IELTS 6.0 이상
(중국어)
- (정규 학위과정) HSK 5급(총점 180 ) 
 ※ (School of International Chinese Studies, School of Design) : HSK 4급(총점 180 ) 이상
- (중국어 어학수업) 중국어 학습 희망자</t>
    <phoneticPr fontId="8" type="noConversion"/>
  </si>
  <si>
    <r>
      <t xml:space="preserve">1. 전공기준 : 제한 없음
2. 성적기준 : 평점평균 4.5 만점 기준 3.0 이상
3. 어학기준 :
(영어)
- (원칙) 영어가 모국어가 아닌 교환학생은 아래 영어성적 중 하나 제출
</t>
    </r>
    <r>
      <rPr>
        <sz val="10"/>
        <rFont val="맑은 고딕"/>
        <family val="3"/>
        <charset val="129"/>
      </rPr>
      <t xml:space="preserve">  TOEFL iBT 74 ('26.01.21.이후, overall 3.5)</t>
    </r>
    <r>
      <rPr>
        <sz val="10"/>
        <color rgb="FF000000"/>
        <rFont val="맑은 고딕"/>
        <family val="3"/>
        <charset val="129"/>
      </rPr>
      <t>/</t>
    </r>
    <r>
      <rPr>
        <sz val="10"/>
        <rFont val="맑은 고딕"/>
        <family val="3"/>
        <charset val="129"/>
      </rPr>
      <t xml:space="preserve"> TOEFL ITP 550 / IELTS 6.</t>
    </r>
    <r>
      <rPr>
        <sz val="10"/>
        <color rgb="FF000000"/>
        <rFont val="맑은 고딕"/>
        <family val="3"/>
        <charset val="129"/>
      </rPr>
      <t>0 / TOEIC 750</t>
    </r>
    <phoneticPr fontId="8" type="noConversion"/>
  </si>
  <si>
    <t>1. 전공기준 : 제한사항 없음
2. 성적기준 : 평점평균 4.5 만점 기준 3.0 이상
3. 어학기준 :
(영어) TOEFL iBT 65 / TOEFL ITP 543 / IELTS 5.5 / TOEIC 605
  ※ TOEFL my best score 또는 IELTS one skill retake 점수 제출 가능</t>
    <phoneticPr fontId="8" type="noConversion"/>
  </si>
  <si>
    <t xml:space="preserve">1. 전공기준 : 제한 없음
2. 성적기준 : 평점평균 4.5 만점 기준 3.0 이상
3. 어학기준 :
(영어) TOEFL iBT 72 / IELTS 6 </t>
    <phoneticPr fontId="8" type="noConversion"/>
  </si>
  <si>
    <t xml:space="preserve">1. 전공기준 : 제한 없음
2. 성적기준 : 교환학생 지원 시점 기준 직전학기 학사경고자 지원 불가
3. 어학기준 :
(영어) TOEFL iBT 72 / IELTS 6.0 </t>
    <phoneticPr fontId="8" type="noConversion"/>
  </si>
  <si>
    <t>1. 전공기준 : 전공매칭 권장 - 파견대학 소속 희망 전공 관련 학문적 배경(본/복수/부전공) 필요
2. 성적기준 : 평점평균 4.5 만점 기준 3.2 이상
3. 어학기준 :
(영어) TOEFL iBT 83(L 20, R 20, S 20, W 20) / IELTS 6.5(각 영역 6.0)</t>
    <phoneticPr fontId="8" type="noConversion"/>
  </si>
  <si>
    <r>
      <t xml:space="preserve">1. 전공기준 : 전공매칭 필수 - 상경계열 본/복수/부전공
2. 성적기준 : 평점평균 4.5 만점 기준 3.5 이상
3. 어학기준 :
(영어) TOEFL iBT 86(각 영역 20) /'26.01.21 이후 TOEFL iBT 4.5(각 영역 4.0)
        IELTS 6.5(각 영역 6.0)
  ※ TOEFL Home Edition 및 IELTS One Skill Retake 점수 제출 </t>
    </r>
    <r>
      <rPr>
        <u/>
        <sz val="10"/>
        <color rgb="FF000000"/>
        <rFont val="맑은 고딕"/>
        <family val="3"/>
        <charset val="129"/>
      </rPr>
      <t>가능</t>
    </r>
    <phoneticPr fontId="8" type="noConversion"/>
  </si>
  <si>
    <t>1. 전공기준 : 전공제한 없음
2. 성적기준 : 평점평균 4.5점 기준 3.5 이상
3. 어학기준 : 
(영어) TOEFL iBT 80 / IELTS 6.5</t>
    <phoneticPr fontId="8" type="noConversion"/>
  </si>
  <si>
    <t>1. 전공기준 : 전공매칭 필수 - 파견대학 소속 희망 전공 관련 학문적 배경(본/복수/부전공) 필요
2. 성적기준 : 평점평균 4.5 만점 기준 3.6 이상
3. 어학기준 :
(영어) TOEFL iBT 72 / TOEFL ITP 543 / IELTS 6.0</t>
    <phoneticPr fontId="8" type="noConversion"/>
  </si>
  <si>
    <t>1. 전공기준 : 제한 없음
2. 성적기준 : 평점평균 4.5 만점 기준 3.5 이상
3. 어학기준 :
(영어) TOEFL iBT 79 / IELTS 5.5 / TOEFL ITP 543</t>
    <phoneticPr fontId="8" type="noConversion"/>
  </si>
  <si>
    <t>1. 전공기준 : 전공매칭 권장 - 파견대학 소속 희망 전공 관련 학문적 배경(본/복수/부전공) 필요
2. 성적기준 : 교환학생 지원 시점 기준 직전학기 학사경고자 지원 불가
3. 어학기준 :
(영어) TOEFL iBT 72 ('26.01.21.이후 4) / TOEFL ITP 543 / IELTS 6.0
(프랑스어) DELF B2 
  ※ TOEFL My Best Score 점수 인정, IELTS One Skill Retake 인정</t>
    <phoneticPr fontId="8" type="noConversion"/>
  </si>
  <si>
    <t xml:space="preserve">1. 전공기준 : 제한 없음
2. 성적기준 : 교환학생 지원 시점 기준 직전학기 학사경고자 지원 불가
3. 어학기준 :
(영어) TOEFL iBT 79 / TOEFL ITP 550 / IELTS 6.0 / TOEIC 785
(프랑스어) DELF B2 </t>
    <phoneticPr fontId="8" type="noConversion"/>
  </si>
  <si>
    <t>1. 전공기준 : 전공매칭 필수 - 국제관계학(International Relations) 또는 정치학(Political Science) 분야에 대한 기본적인 지식을 갖추고 있어야 함
2. 성적기준 : 교환학생 지원 시점 기준 직전학기 학사경고자 지원 불가
3. 어학기준 : 
(영어) TOEFL iBT 80 ('26.1.21.이후 4.5) / IELTS 6 / TOEIC 800</t>
    <phoneticPr fontId="8" type="noConversion"/>
  </si>
  <si>
    <t>1. 전공기준 : 제한 없음
2. 성적기준 : 평점평균 4.5 만점 기준 3.5 이상
3. 어학기준 :
(프랑스어)
- (정규 학위과정) DELF B1 
  ※ 소속 및 수강 관련, 세부정보의 (제한사항) 반드시 확인
- (프랑스어 어학과정) 제한 없음</t>
    <phoneticPr fontId="8" type="noConversion"/>
  </si>
  <si>
    <t xml:space="preserve">1. 전공기준 : 전공매칭 필수 - 경영학 관련 학문적 배경(본/복수/부전공) 필요
2. 성적기준 : 교환학생 지원 시점 기준 직전학기 학사경고자 지원 불가
3. 어학기준 :
(영어) TOEFL iBT 72 / TOEFL ITP 543 / IELTS 6.0
(프랑스어) DELF B2 </t>
    <phoneticPr fontId="8" type="noConversion"/>
  </si>
  <si>
    <t xml:space="preserve">1. 전공기준 : 제한 없음
2. 성적기준 : 교환학생 지원 시점 기준 직전학기 학사경고자 지원 불가
3. 어학기준 :
(프랑스어) DELF B2 </t>
    <phoneticPr fontId="8" type="noConversion"/>
  </si>
  <si>
    <r>
      <t xml:space="preserve">1. 전공기준 : 제한 없음
2. 성적기준 : 교환학생 지원 시점 기준 직전학기 학사경고자 지원 불가
3. 어학기준 :
(영어) TOEFL iBT 72/ TOEFL ITP 543 / IELTS 6.0
(프랑스어)
- (정규 학위과정) DELF B2 
- (DU French Humanities/ </t>
    </r>
    <r>
      <rPr>
        <b/>
        <sz val="10"/>
        <color rgb="FF000000"/>
        <rFont val="맑은 고딕"/>
        <family val="3"/>
        <charset val="129"/>
      </rPr>
      <t>Fall</t>
    </r>
    <r>
      <rPr>
        <sz val="10"/>
        <color rgb="FF000000"/>
        <rFont val="맑은 고딕"/>
        <family val="3"/>
        <charset val="129"/>
      </rPr>
      <t xml:space="preserve"> Semester) DELF B1 
- (DU Art Culture Heritage Program/ </t>
    </r>
    <r>
      <rPr>
        <b/>
        <sz val="10"/>
        <color rgb="FF000000"/>
        <rFont val="맑은 고딕"/>
        <family val="3"/>
        <charset val="129"/>
      </rPr>
      <t>Spring</t>
    </r>
    <r>
      <rPr>
        <sz val="10"/>
        <color rgb="FF000000"/>
        <rFont val="맑은 고딕"/>
        <family val="3"/>
        <charset val="129"/>
      </rPr>
      <t xml:space="preserve"> Semester) DELF A2 </t>
    </r>
    <phoneticPr fontId="8" type="noConversion"/>
  </si>
  <si>
    <t>1. 전공기준 : 전공매칭 필수 - 파견대학 소속 희망 전공 관련 학문적 배경(본/복수/부전공) 필요
2. 성적기준 : 교환학생 지원 시점 기준 직전학기 학사경고자 지원 불가
3. 어학기준 :
(영어) TOEFL iBT 72 / TOEFL ITP 543 / IELTS 6.0
(프랑스어) DELF B2
※ 인문·사회계열(철학, 역사, 문학, 언어학, 사회과학 등) 전공의 경우
C1 수준의 프랑스어 능력이 요구되니 충족 후 지원요망</t>
    <phoneticPr fontId="8" type="noConversion"/>
  </si>
  <si>
    <t>1. 전공기준 : 전공매칭 권장 - 파견대학 소속 희망 전공 관련 학문적 배경(본/복수/부전공) 필요
2. 성적기준 : 교환학생 지원 시점 기준 직전학기 학사경고자 지원 불가
3. 어학기준 :
- (프랑스어) DELF B2 
* 전공에 따라 더 높은 수준이 필요할 수 있음</t>
    <phoneticPr fontId="8" type="noConversion"/>
  </si>
  <si>
    <r>
      <t xml:space="preserve">1. 전공기준 : 제한 없음
2. 성적기준 : 교환학생 지원 시점 기준 직전학기 학사경고자 지원 불가
3. 어학기준 :
(프랑스어)
- (정규 학위과정) DELF B2 
</t>
    </r>
    <r>
      <rPr>
        <sz val="10"/>
        <color theme="1"/>
        <rFont val="맑은 고딕"/>
        <family val="3"/>
        <charset val="129"/>
      </rPr>
      <t>- (DEFLE 프랑스어 어학과정) 프랑스어 학습 희망자</t>
    </r>
    <phoneticPr fontId="8" type="noConversion"/>
  </si>
  <si>
    <t xml:space="preserve">1. 전공기준 : 전공매칭 필수 - 파견대학 소속 희망 전공 관련 학문적 배경(본/복수전공) 필요
2. 성적기준 : 교환학생 지원 시점 기준 직전학기 학사경고자 지원 불가
3. 어학기준 :
(영어) TOEFL iBT 72 / IELTS 6.0 
(프랑스어) DELF B2 </t>
    <phoneticPr fontId="8" type="noConversion"/>
  </si>
  <si>
    <t xml:space="preserve">1. 전공기준 : 전공매칭 필수 - 파견대학(단대) 특정 전공에만 지원 및 소속 가능하며, 지원 분야 관련 학문적 배경(본/복수/부전공) 필요
2. 성적기준 : 평점평균 4.5 만점 기준 3.5 이상
3. 어학기준 :
(영어) TOEFL iBT 72 / IELTS 6.0 
(프랑스어) DELF B2 </t>
    <phoneticPr fontId="8" type="noConversion"/>
  </si>
  <si>
    <t>1. 전공기준 : 전공매칭 필수 - 파견대학 소속 희망 전공 관련 학문적 배경(본/복수/부전공) 필요
  ※ 어학과정(풀타임) 소속 희망자의 경우 전공 제한 없음
2. 성적기준 : 교환학생 지원 시점 기준 직전학기 학사경고자 지원 불가
3. 어학기준 :
(영어) TOEFL iBT 72 / IELTS 5.5 / TOEIC 785
  ※ 아래 단대/전공의 경우 보다 상향된 어학기준 충족 필요
  A. Faculty of Arts, Letters, Languages and Human sciences(ALLSH) : TOEFL iBT 95 / IELTS 7.0 / TOEIC 945
  B. Graduate School of Management(IAE) : TOEFL iBT 85 / IELTS 6.0</t>
    <phoneticPr fontId="8" type="noConversion"/>
  </si>
  <si>
    <t>1. 전공기준 : 전공매칭 필수 - 인문사회계열(Human and social sciences/ Languages/ Arts) 본/복수전공 필요
2. 성적기준 : 평점평균 4.5만점 기준 3.5 이상
3. 어학기준 :
(영어) TOEFL iBT 42 / TOEFL ITP 460 / IELTS 4.5
(프랑스어)
- (정규 학위과정) DELF B1
- (DEFLE 프랑스어 어학과정) 프랑스어 학습 희망자</t>
    <phoneticPr fontId="8" type="noConversion"/>
  </si>
  <si>
    <t xml:space="preserve">1. 전공기준 : 전공매칭 필수 - 파견대학 소속 희망 전공 관련 학문적 배경(본/복수/부전공) 필요
2. 성적기준 : 교환학생 지원 시점 기준 직전학기 학사경고자 지원 불가
3. 어학기준 :
(영어) TOEFL iBT 90 / IELTS 5.5 / TOEIC 785 
(프랑스어) DELF B2 </t>
    <phoneticPr fontId="8" type="noConversion"/>
  </si>
  <si>
    <t>1. 전공기준 : 전공매칭 권장 - 파견대학 소속 희망 전공 관련 학문적 배경(본/복수/부전공) 필요
2. 성적기준 : 평점평균 4.5만점 기준 3.5 이상
3. 어학기준 
(영어) TOEFL iBT 80 / TOEFL ITP 543 / IELTS 6.0 
(프랑스어) DELF B2</t>
    <phoneticPr fontId="8" type="noConversion"/>
  </si>
  <si>
    <r>
      <t xml:space="preserve">1. 전공기준 : 제한 없음
2. 성적기준 : 교환학생 지원 시점 기준 직전학기 학사경고자 지원 불가
3. 어학기준 :
(영어) TOEFL iBT 42 / TOEFL ITP 460 / IELTS 5.0 / TOEIC 550 
  ※ TOEFL my best score 점수 제출 </t>
    </r>
    <r>
      <rPr>
        <u/>
        <sz val="10"/>
        <color rgb="FF000000"/>
        <rFont val="맑은 고딕"/>
        <family val="3"/>
        <charset val="129"/>
      </rPr>
      <t>가능</t>
    </r>
    <r>
      <rPr>
        <sz val="10"/>
        <color rgb="FF000000"/>
        <rFont val="맑은 고딕"/>
        <family val="3"/>
        <charset val="129"/>
      </rPr>
      <t xml:space="preserve"> </t>
    </r>
    <phoneticPr fontId="8" type="noConversion"/>
  </si>
  <si>
    <t xml:space="preserve">1. 전공기준 : 전공매칭 권장 - 파견대학 소속 희망 전공 관련 학문적 배경(본/복수/부전공) 필요
2. 성적기준 : 교환학생 지원 시점 기준 직전학기 학사경고자 지원 불가
3. 어학기준 :
(영어) TOEFL iBT 72 / IELTS 6.0 </t>
    <phoneticPr fontId="8" type="noConversion"/>
  </si>
  <si>
    <r>
      <t xml:space="preserve">1. 전공기준 : 파견대학 일부 전공 지원 제한
  ※ 세부사항 내 (제한사항) 참고
2. 성적기준 : 교환학생 지원 시점 기준 직전학기 학사경고자 지원 불가
3. 어학기준 :
</t>
    </r>
    <r>
      <rPr>
        <sz val="10"/>
        <rFont val="맑은 고딕"/>
        <family val="3"/>
        <charset val="129"/>
      </rPr>
      <t>(영어) TOEFL iBT 72 / TOEFL ITP 543(Listening 54-63, Structure And Written Expression 53-63, Reading 56-62) / IELTS 6.0(각 영역 6.0)</t>
    </r>
    <r>
      <rPr>
        <sz val="10"/>
        <color rgb="FFFF0000"/>
        <rFont val="맑은 고딕"/>
        <family val="3"/>
        <charset val="129"/>
      </rPr>
      <t xml:space="preserve">
</t>
    </r>
    <r>
      <rPr>
        <sz val="10"/>
        <color rgb="FF000000"/>
        <rFont val="맑은 고딕"/>
        <family val="3"/>
        <charset val="129"/>
      </rPr>
      <t>4. 특이사항 :  파견시점 기준 3학년 이상(4학기 이상 이수) 학생만 지원 가능</t>
    </r>
    <phoneticPr fontId="8" type="noConversion"/>
  </si>
  <si>
    <t>1. 전공기준 :  전공기준 : 전공매칭 필수 - 파견대학(단대) 특정 전공에만 지원 및 소속 가능하며, 지원 분야 관련 학문적 배경(본/복수/부전공) 필요
2. 성적기준 : 평점평균 4.5 만점 기준 3.5 이상
3. 어학기준 :
(영어) TOEFL iBT 78 / IELTS 6.0(각 영역 6.0)</t>
    <phoneticPr fontId="8" type="noConversion"/>
  </si>
  <si>
    <r>
      <t xml:space="preserve">1. 전공기준 : 제한 없음
2. 성적기준 : 평점평균 4.5 만점 기준 2.5 이상
3. 어학기준 :
</t>
    </r>
    <r>
      <rPr>
        <sz val="10"/>
        <rFont val="맑은 고딕"/>
        <family val="3"/>
        <charset val="129"/>
      </rPr>
      <t>(영어) TOEFL iBT 70(R 16, L 16, S 18, W 21) / IELTS 6.0(각 영역 6.0)</t>
    </r>
    <phoneticPr fontId="8" type="noConversion"/>
  </si>
  <si>
    <r>
      <t xml:space="preserve">1. 전공기준 : 전공매칭 필수 - 파견대학 소속 희망 전공 관련 학문적 배경(본/복수/부전공) 필요
2. 성적기준 : 평점평균 4.5 만점 기준 3.0 이상
3. 어학기준 : 지원 전공 또는 수강 희망 강의별 요건을 충족하는 TOEFL iBT 또는 IELTS 성적
</t>
    </r>
    <r>
      <rPr>
        <sz val="10"/>
        <color rgb="FFFF0000"/>
        <rFont val="맑은 고딕"/>
        <family val="3"/>
        <charset val="129"/>
      </rPr>
      <t xml:space="preserve">  ※ 세부사항 내 (어학기준)의 안내 및 관련 링크를 통해 어학기준 총족여부를 반드시 확인 후 지원</t>
    </r>
  </si>
  <si>
    <r>
      <t xml:space="preserve">1. 전공기준 : 전공매칭 권장
2. 성적기준 : </t>
    </r>
    <r>
      <rPr>
        <sz val="10"/>
        <color theme="1"/>
        <rFont val="맑은 고딕"/>
        <family val="3"/>
        <charset val="129"/>
      </rPr>
      <t>평점평균 4.5만점 기준 3.5이상
3. 어학기준</t>
    </r>
    <r>
      <rPr>
        <sz val="10"/>
        <color rgb="FF000000"/>
        <rFont val="맑은 고딕"/>
        <family val="3"/>
        <charset val="129"/>
      </rPr>
      <t xml:space="preserve">
(영어) TOEFL iBT 79(W21, S18, R13, L12) / IELTS 6.5(각 영역 6.0) 
※ 2026년부터 개편된 TOEFL 신규점수체계 인정 안함(6점 척도), 호주 학생비자 요건에 적합한 시험 유형인지 확인, 대학에서 안내하는 관련 정보 참고 </t>
    </r>
    <phoneticPr fontId="8" type="noConversion"/>
  </si>
  <si>
    <t>*지원대학별 상이 
반드시 SAF 홈페이지에서 어학기준 확인
(카카오톡 플러스친구 'SAF KOREA'에서 상담 가능)</t>
  </si>
  <si>
    <t>1. 전공기준 : 세부사항 참조
2. 성적기준 : 성적 기준 없음, 파견학기 기준 2학기 이수 완료자
3. 어학기준 : 
(학부 전공수업) 중국어 수업 수강 시 HSK 6급(180점 이상) 이상
※ 영어 수업 수강 시 중국어 어학시험 성적 불필요
(중국어 연수) 제한 없음
4. 특이사항 : 방문학생 자격으로 수학(GVS3), 중국 시민권자 지원 불가</t>
  </si>
  <si>
    <t>· 1st : Aug-Jan
· 2nd : Jan-Jul</t>
  </si>
  <si>
    <t>1. 제한사항
(수강제한) Exchange students may choose courses primarily from their host faculty. Access to courses in other faculties may be restricted and is subject to approval by the relevant faculty.
※ 각 단과대학별 제한사항 확인 바람
https://www.ru.nl/en/education/more-education-and-training/courses-for-exchange-students/exchange-courses-and-contact-information
(어학기준)
- Faculty of Arts(Department of English and America Studies) 등 기준 상이, 아래 링크에서 확인
- https://www.ru.nl/en/education/application-and-admission/language-requirements/english-language-requirements/minimum-test-scores-exchange-students</t>
    <phoneticPr fontId="8" type="noConversion"/>
  </si>
  <si>
    <t>(대학) www.ru.nl
(교환학생) https://www.ru.nl/en/education/more-education-and-training/courses-for-exchange-students
(강의정보) https://www.ru.nl/en/education/more-education-and-training/courses-for-exchange-students/exchange-courses-and-contact-information
(주거정보) https://www.ru.nl/en/students/international-students/housing</t>
    <phoneticPr fontId="8" type="noConversion"/>
  </si>
  <si>
    <t>· Fall : Sep-Jan
· Spring : Jan-Jun</t>
  </si>
  <si>
    <t>1. 제한사항
(수강제한) Please note that most exchange programmes are open to senior students in their final year only.</t>
    <phoneticPr fontId="8" type="noConversion"/>
  </si>
  <si>
    <t>(대학) https://www.rotterdamuas.com/
(단과대학) https://www.rotterdamuas.com/about/organisation/schools/hrbs/about/
(교환학생) https://www.rotterdamuas.com/programmes/exchange/
(강의정보) https://www.rotterdamuas.com/programmes/
(주거정보) https://www.rotterdamuas.com/study-information/practical-information/Student-Housing/
(FAQ) https://www.rotterdamuas.com/study-information/faq-exchange/</t>
    <phoneticPr fontId="8" type="noConversion"/>
  </si>
  <si>
    <t>· Autumn : Sep-Jan
· Spring : Feb-Jun</t>
  </si>
  <si>
    <r>
      <t xml:space="preserve">1. 제한사항
</t>
    </r>
    <r>
      <rPr>
        <sz val="10"/>
        <color rgb="FFFF0000"/>
        <rFont val="맑은 고딕"/>
        <family val="3"/>
        <charset val="129"/>
      </rPr>
      <t xml:space="preserve">(연속파견 제한) 파견대학 규정에 따라, 동일 학년도(Academic Year) 내에서만 재지원(=재선발=파견 연장) 가능
  ※  본교 기준 2학기에 최초 파견된 학생만 다음 학기(1학기)에 동일대학 재지원(파견 연장) 가능
</t>
    </r>
    <r>
      <rPr>
        <sz val="10"/>
        <color rgb="FF000000"/>
        <rFont val="맑은 고딕"/>
        <family val="3"/>
        <charset val="129"/>
      </rPr>
      <t>(지원자격) 통계학, 미시/거시경제학, 회계학 등 상경계열 전공과목 36학점 이상 이수 필수
(수강제한)
 A. students can choose courses from a pre-selected list
 B. students can only take master courses if they have a bachelor's degree in a related field of study
C. students can take max 2 courses at other faculties, need to ask permission</t>
    </r>
    <phoneticPr fontId="8" type="noConversion"/>
  </si>
  <si>
    <t>(대학) https://www.rug.nl/
(교환학생) https://www.rug.nl/feb/education/exchange/
(강의정보) https://ocasys.rug.nl/current/catalog
(주거정보) https://www.rug.nl/education/exchange/study-in-groningen/</t>
    <phoneticPr fontId="8" type="noConversion"/>
  </si>
  <si>
    <t>· Autumn : Aug-Dec
· Spring : Jan-Jun</t>
  </si>
  <si>
    <t>1. 제한사항
(지원제한) 
- 건축(Architecture)/음악(Music) 관련 전공 지원 불가
- 각 전공별로 지원 자격, 수강 요건 또는 별도의 지원 절차가 적용될 수 있으며, 자세한 내용은 아래 링크의 'Exceptional Procedures'를 참고
  ※ https://www.ntnu.edu/studies/exchange/how_to_apply
(수강제한)
- 과목별 선수지식 및 수강 자격 요건 적용될 수 있으므로, 상세내용 강의정보에서 확인
  ※ https://www.ntnu.edu/studies/exchange/courses</t>
    <phoneticPr fontId="8" type="noConversion"/>
  </si>
  <si>
    <t>(대학) https://www.ntnu.edu/
(교환학생) https://www.ntnu.edu/studies/exchange
(강의정보) https://www.ntnu.edu/studies/exchange/courses
(주거정보) https://www.ntnu.edu/lifeandhousing/trondheim/housing</t>
    <phoneticPr fontId="8" type="noConversion"/>
  </si>
  <si>
    <t>(수강제한) 수강과목별로 요구되는 선수과목 및 조건 있을 수 있음
- 세부정보 (강의정보)에서 수강과목별 참고
* Please note that we reserve the right to reject nominations/applications, if the students do not fulfil the admission requirements for the courses they apply for.</t>
    <phoneticPr fontId="8" type="noConversion"/>
  </si>
  <si>
    <t>(대학) https://www.hivolda.no/en/
(교환학생) https://www.hivolda.no/en/information-exchange-students
(강의정보) https://www.hivolda.no/en/courses
(주거정보) https://www.sivolda.no/housing/category967.html</t>
    <phoneticPr fontId="8" type="noConversion"/>
  </si>
  <si>
    <r>
      <t>학부/</t>
    </r>
    <r>
      <rPr>
        <u/>
        <sz val="10"/>
        <color rgb="FF000000"/>
        <rFont val="맑은 고딕"/>
        <family val="3"/>
        <charset val="129"/>
      </rPr>
      <t>석사</t>
    </r>
  </si>
  <si>
    <r>
      <t xml:space="preserve">1. 제한사항
(수강제한)
 A. 일부 과목의 경우 수강신청(허가)에 별도 요건을 요구할 수 있음
 B. Students can not take courses from several campuses.
2. 특이사항
</t>
    </r>
    <r>
      <rPr>
        <sz val="10"/>
        <color rgb="FF0000FF"/>
        <rFont val="맑은 고딕"/>
        <family val="3"/>
        <charset val="129"/>
      </rPr>
      <t>(교명변경) 舊. 릴리함메르대학이 타 대학과 2017년에 통합하여 출범한 대학, 인랜드노르웨이응용과학대학에서 인랜드노르웨이대학으로 교명 변경(2026년)</t>
    </r>
    <phoneticPr fontId="8" type="noConversion"/>
  </si>
  <si>
    <t>(대학) https://www.inn.no/english/
(교환학생) https://www.inn.no/english/study-options/incoming-exchange-students/
(강의정보) https://www.inn.no/english/study-opportunities/our-studies/
(주거정보) https://www.inn.no/english/for-students/specific-information-for-international-students/accomodation/</t>
    <phoneticPr fontId="8" type="noConversion"/>
  </si>
  <si>
    <t>· Fall : Sep-Dec
· Spring : Feb-Jun</t>
  </si>
  <si>
    <r>
      <t xml:space="preserve">1. 제한사항
(지원제한) Students who have completed at least 2 semesters of enrollment at home university before participate in the exchange program.
(국적제한) 중국인 학생의 경우 어학요건, 비자 등에 별도 자격요건이 적용될 수 있으므로, 필요시 파견대학 국제처(govisiting@deps.ntnu.edu.tw)에 별도 문의 후 지원
(지원제한)
</t>
    </r>
    <r>
      <rPr>
        <sz val="10"/>
        <rFont val="Segoe UI Symbol"/>
        <family val="3"/>
      </rPr>
      <t>►</t>
    </r>
    <r>
      <rPr>
        <sz val="10"/>
        <rFont val="맑은 고딕"/>
        <family val="3"/>
        <charset val="129"/>
      </rPr>
      <t xml:space="preserve"> Chinese native speakers (China/Hong Kong/Macao) are not eligible to apply for:
  - College of Interdisciplinary Industry-Academia Innovation (website)
  - Program of Global Studies (website)
</t>
    </r>
    <r>
      <rPr>
        <sz val="10"/>
        <rFont val="Segoe UI Symbol"/>
        <family val="3"/>
      </rPr>
      <t>►</t>
    </r>
    <r>
      <rPr>
        <sz val="10"/>
        <rFont val="맑은 고딕"/>
        <family val="3"/>
        <charset val="129"/>
      </rPr>
      <t xml:space="preserve"> Courses from following programs are not open for all exchange students:
  - School of Teacher Education
  - Category of “Personal Instrument Instruction” from College of Music
2. 특이사항
(어학과정) Non-Chinese speaking exchange students are eligible to take tuition-waived Chinese Language Program(6 hours per week) at Mandarin Training Center (MTC)*. It doesn’t provide academic transcript and credit(s) for attendees, but will provide a Record of Study to certify attendees’ class performances.</t>
    </r>
    <phoneticPr fontId="8" type="noConversion"/>
  </si>
  <si>
    <t>(대학) http://en.ntnu.edu.tw/
(교환학생) https://bds.oia.ntnu.edu.tw/bds/en/web/goexchange
(강의정보) https://courseap2.itc.ntnu.edu.tw/acadmOpenCourse/index.jsp
(주거정보) Dormitory is not guaranteed due to limited places</t>
    <phoneticPr fontId="8" type="noConversion"/>
  </si>
  <si>
    <t>· Fall : Sep-Dec
· Spring : Mar-Jun</t>
  </si>
  <si>
    <r>
      <t xml:space="preserve">1. 제한사항
</t>
    </r>
    <r>
      <rPr>
        <sz val="10"/>
        <color rgb="FFFF0000"/>
        <rFont val="맑은 고딕"/>
        <family val="3"/>
        <charset val="129"/>
      </rPr>
      <t xml:space="preserve">(연속파견 제한) 파견대학 규정에 따라, 동일 학년도(Academic Year) 내에서만 재지원(=재선발=파견 연장) 가능
  ※  본교 기준 2학기에 최초 파견된 학생만 다음 학기(1학기)에 동일대학 재지원(파견 연장) 가능
</t>
    </r>
    <r>
      <rPr>
        <sz val="10"/>
        <color rgb="FF0000FF"/>
        <rFont val="맑은 고딕"/>
        <family val="3"/>
        <charset val="129"/>
      </rPr>
      <t>(지원기준) https://drive.google.com/file/d/1FL2hsdPTWAJhUmx9lbI_6jpJjSx3K9Ag/view
  ★ 해당 기관은 각 전공별로 지원 가능 성적, 어학기준 및 학위과정이 다르므로 반드시 위 자료를 통해 본인의 지원 가능 여부를 확인</t>
    </r>
    <phoneticPr fontId="8" type="noConversion"/>
  </si>
  <si>
    <t>(대학) https://www.nycu.edu.tw/nycu/en/index
(교환학생) https://oia.nycu.edu.tw/oia/en/app/artwebsite/view?module=artwebsite&amp;id=821&amp;serno=a277c341-8d25-4a51-8495-58d1d58bbc5d
(강의정보) https://docs.google.com/spreadsheets/d/1rYHyL4bWxMaGU8ES5--0YUTVen66Fo-MwQlqY9mhH7k/edit?gid=0#gid=0
(주거정보) https://oia.nycu.edu.tw/oia/en/app/artwebsite/view?module=artwebsite&amp;id=793&amp;serno=956748ed-280d-465c-a69e-c9ce53c2561e</t>
    <phoneticPr fontId="8" type="noConversion"/>
  </si>
  <si>
    <t>· Spring : Apr-Aug
· Fall : Oct-Feb</t>
  </si>
  <si>
    <t>1. 제한사항
(수강제한)
 A. exchange students may take courses across departments, except for the ones offered by the following departments: International Master’s Program in Asia-Pacific Studies (IMAS)/ International Master of Business Administration (IMBA)/ Executive Master of Business Administration (EMBA)/ College of Global Banking and Finance/ On-Job Training Programs/ Extended Minor Course with credit fee/ The department of the students’ native language (e.g., Korean students cannot take courses offered by the Department of Korean Language and Culture).
2. 특이사항
(추가심사) 대학원생의 경우, 파견대학 별도 심사에 의해 전공 수강 허용 여부 결정</t>
  </si>
  <si>
    <t>(대학) https://www.nccu.edu.tw/
(교환학생) https://oic.nccu.edu.tw/
(강의정보) https://qrysub.nccu.edu.tw/</t>
  </si>
  <si>
    <t>1. 제한사항
(수강신청) Some courses require foundamental ability, students may need to provide past course record or relevent proof. All fields are open to exchange students as long as the student has adequate Chinese proficiency. Otherwise, students can only take courses offered in English.</t>
    <phoneticPr fontId="8" type="noConversion"/>
  </si>
  <si>
    <t>(대학) https://www.nsysu.edu.tw/?Lang=en
(교환학생) https://oia.nsysu.edu.tw/p/412-1308-20581.php?Lang=en
(강의정보) https://oia.nsysu.edu.tw/p/412-1308-20770.php?Lang=en
(주거정보) https://housing-osa.nsysu.edu.tw/p/412-1092-26855.php?Lang=en</t>
    <phoneticPr fontId="8" type="noConversion"/>
  </si>
  <si>
    <r>
      <t xml:space="preserve">1. 제한사항
</t>
    </r>
    <r>
      <rPr>
        <sz val="10"/>
        <rFont val="맑은 고딕"/>
        <family val="3"/>
        <charset val="129"/>
      </rPr>
      <t>(지원제한) depends on the departments. generally, exchange students cannot take Coursera courses and generally cannot take Exploring Tainan courses. if they'd like to take Exploring Tainan courses, they'll have to email the responsible unit first.</t>
    </r>
    <r>
      <rPr>
        <b/>
        <sz val="10"/>
        <color rgb="FFFF0000"/>
        <rFont val="맑은 고딕"/>
        <family val="3"/>
        <charset val="129"/>
      </rPr>
      <t xml:space="preserve">
</t>
    </r>
    <r>
      <rPr>
        <sz val="10"/>
        <color rgb="FF0000FF"/>
        <rFont val="맑은 고딕"/>
        <family val="3"/>
        <charset val="129"/>
      </rPr>
      <t>(지원기준)
https://oia.ncku.edu.tw/var/file/32/1032/img/4576/NCKUDepartmentrequirementsAY2627(20260527).pdf 
  ★ 해당 기관은 각 전공별로 지원 가능 성적, 어학기준 및 학위과정이 다르므로 반드시 위 자료를 통해 본인의 지원 가능 여부를 확인
  ※ 상기 안내사항 관련 궁금한 점이 있을 경우 파견대학 국제처(em50961@email.ncku.edu.tw)에 별도 문의하여 확인 후 지원</t>
    </r>
    <r>
      <rPr>
        <sz val="10"/>
        <color rgb="FF000000"/>
        <rFont val="맑은 고딕"/>
        <family val="3"/>
        <charset val="129"/>
      </rPr>
      <t xml:space="preserve">
(수강제한)
A. In general, exchange students are allowed to enroll in most courses available at NCKU, including courses from other departments/colleges, except for the restricted courses.
B. Please directly contact the department's coordinator for particular restrictions and requirements, and ask them for the specified information.
C. Most Departments display restrictions for courses in the course enrollment system.
D. All “Coursera” and “Exploring Tainan” Courses are not available for exchange students.
 * Please note that instructors reserve the authority to decline the students due to unfulfilled lecture prerequisites or limited teaching capacities.
 * Most English-taught courses are offered at the graduate level.
 * College of Management is limited to Final-year undergraduate students and graduate students.</t>
    </r>
    <phoneticPr fontId="8" type="noConversion"/>
  </si>
  <si>
    <t>(대학) https://www.ncku.edu.tw/
(교환학생) https://oia.ncku.edu.tw/p/404-1032-230512.php?Lang=en
(강의정보) https://course.ncku.edu.tw/index.php?c=qry11215&amp;i=ADULN1ZiUDAJcAAjA2xRMAduUSZXbVElCj8BOAdtBDRQN1U5Bm0BfwE5DTkNalRxBTIFdAVuATVTaAUzV2pVLlJvAz9cbFU0UzBXPVczBG4AKFB2BWwAbl5qViQDNlE8VWUHBAQgA29WOAFvDHMBPVx7AGkFZFM8VXZVC1ZzAjkAKQtwViVQMAk6AGoDdFFzB3ZRP1dlUT0KNQFrBywEblA9VTkGbQFlATkNOA1rVC4FIgVsBWQBblNwBWVXclVuUmQDP1xsVTRTLA==
(주거정보) https://drive.google.com/file/d/15LnZRAgJ4Lw1Z-Bs1ptONBZR5xa4CKao/view</t>
    <phoneticPr fontId="8" type="noConversion"/>
  </si>
  <si>
    <t>· Fall : Sep-Jan
· Spring : Feb-Jun</t>
    <phoneticPr fontId="8" type="noConversion"/>
  </si>
  <si>
    <r>
      <t xml:space="preserve">1. 제한사항
</t>
    </r>
    <r>
      <rPr>
        <b/>
        <sz val="10"/>
        <color rgb="FFFF0000"/>
        <rFont val="맑은 고딕"/>
        <family val="3"/>
        <charset val="129"/>
      </rPr>
      <t>(국적제한) 중국 국적자는 사전에 파견대학 담당자와 별도 협의 후 지원
  ※ email : : exchange@ulive.pccu.edu.tw</t>
    </r>
    <r>
      <rPr>
        <sz val="10"/>
        <color rgb="FF000000"/>
        <rFont val="맑은 고딕"/>
        <family val="3"/>
        <charset val="129"/>
      </rPr>
      <t xml:space="preserve">
(수강신청)  Most of the courses are open for exchange/visiting students except those with prerequisites, limits to the number of students, or special conditions, which can be found on the curriculum information page.
2. 참고사항: CCU also offers English-taught programs in Global Business and AI &amp; Semiconductor studies. In addition, we provide a Mandarin language program specially designed for exchange students.</t>
    </r>
    <phoneticPr fontId="8" type="noConversion"/>
  </si>
  <si>
    <t>(대학) https://en.pccu.edu.tw/
(교환학생) https://oima.pccu.edu.tw/things-to-know-for-ccu-exchange-students-2/
(강의정보) https://oima.pccu.edu.tw/things-to-know-for-ccu-exchange-students-2/
(주거정보) Exchange students are guaranteed with on-campus dormitory spots.</t>
    <phoneticPr fontId="8" type="noConversion"/>
  </si>
  <si>
    <t>· Winter : Oct–Mar
· Summer : Apr–Sep</t>
  </si>
  <si>
    <t>1. 제한사항
(수강제한) We cannot accept students whose major at PNU is different from the majors offered at TU Darmstadt</t>
  </si>
  <si>
    <t>(대학) www.tu-darmstadt.de/
(교환학생) www.tu-darmstadt.de/incoming
(강의정보) https://www.tucan.tu-darmstadt.de/ and https://www.tu-darmstadt.de/studieren/studieninteressierte/internationale_studieninteressierte/austauschprogramme_inbound/index.en.jsp</t>
    <phoneticPr fontId="8" type="noConversion"/>
  </si>
  <si>
    <t>· Winter : Oct-Mar
· Summer : Apr-Aug</t>
  </si>
  <si>
    <r>
      <t xml:space="preserve">1. 제한사항
(소속제한) Medicine/ Dentistry/ Pharmacy/ Fine Arts and Art History/ Sport Sciences/ Biochemistry
(수강제한) Majority of courses taken should come from main subject if possible, but other areas are open as well if student needs it for their degree and has necessary pre-knowledge.
(어학기준 상향) 
아래 링크의 "Language Skills" 에서 본인이 지원을 희망하는 언어/전공별 어학기준을 추가 확인하고 최종 지원 여부를 결정할 것
  ※ (링크) https://www.uni-regensburg.de/en/international/coming-to-regensburg/exchange-programs/application
</t>
    </r>
    <r>
      <rPr>
        <sz val="10"/>
        <color rgb="FFFF0000"/>
        <rFont val="맑은 고딕"/>
        <family val="3"/>
        <charset val="129"/>
      </rPr>
      <t>(영어강의) 대부분 영어강의(특히, 경영/경제)가 학부 고학년 또는 석사 단위에서 이루어지므로, "파견시점 기준 학부 2학년"의 경우 파견대학에 별도 문의 후 지원 여부를 결정할 것 - 파견대학 요청사항</t>
    </r>
    <phoneticPr fontId="8" type="noConversion"/>
  </si>
  <si>
    <t>(대학) https://www.uni-regensburg.de/en/
(교환학생) https://www.uni-regensburg.de/en/international/coming-to-regensburg/exchange-programs
(강의정보) https://campusportal.uni-regensburg.de/qisserver/pages/cm/exa/coursecatalog/showCourseCatalog.xhtml?_flowId=showCourseCatalog-flow&amp;_flowExecutionKey=e1s1
(영어강의) https://www.uni-regensburg.de/en/international/coming-to-regensburg/exchange-programs/course-selection-amp-learning-agreement/courses-taught-in-english
(주거정보) https://www.uni-regensburg.de/en/international/coming-to-regensburg/exchange-programs/accommodation</t>
    <phoneticPr fontId="8" type="noConversion"/>
  </si>
  <si>
    <t>학부/대학원(석사)</t>
    <phoneticPr fontId="8" type="noConversion"/>
  </si>
  <si>
    <t>· Winter : Oct-Feb
· Summer : Apr-Jul</t>
    <phoneticPr fontId="8" type="noConversion"/>
  </si>
  <si>
    <t>(제한사항) 치의학 전공자 지원 불가
(유의사항) Most of the courses at RUB are taught in German. However, there are also some courses taught in English that are published in our International Course Catalogue. 
*Course Catalog
https://international.ruhr-uni-bochum.de/en/course-catalogue
*During the semester, exchange students have the chance to attend language courses free of charge:
  - German: https://www.daf.ruhr-uni-bochum.de/index.html.en
  - Other languages: https://www.zfa.ruhr-uni-bochum.de/sprachen/index.html.en</t>
    <phoneticPr fontId="8" type="noConversion"/>
  </si>
  <si>
    <t>(대학) https://www.ruhr-uni-bochum.de/de
(교환학생) https://international.ruhr-uni-bochum.de/en/international-exchange-students
(강의정보) https://international.ruhr-uni-bochum.de/en/course-catalogue
(주거정보) https://international.ruhr-uni-bochum.de/en/wohnraum-fuer-austauschstudierende</t>
    <phoneticPr fontId="8" type="noConversion"/>
  </si>
  <si>
    <t>· Fall : Aug-Jan
· Spring : Feb-Jun</t>
  </si>
  <si>
    <r>
      <t xml:space="preserve">1. 제한사항
(가능 전공) English and American Studies/ French Studies/ German Studies/ History/ Hispanic Studies/ Italian Studies/ Media and Communication Studies/ Philosophy 
(수강제한) Exchange students must take the majority of their courses at the school in which they will enroll. However, they can also choose one or two courses from other schools through the university wide electives.  Students can take limited courses from other Faculties. 
2. 특이사항
(유의사항) 교환학생 전체 학습과정에 높은 수준의 영어실력이 요구되는 점을 반드시 고려하여 지원 - 파견대학 국제처 공식 안내사항
</t>
    </r>
    <r>
      <rPr>
        <sz val="10"/>
        <color rgb="FFFF0000"/>
        <rFont val="맑은 고딕"/>
        <family val="3"/>
        <charset val="129"/>
      </rPr>
      <t>(연속파견 제한) 파견대학 규정에 따라, 동일 학년도(Academic Year) 내에서만 재지원(=재선발=파견 연장) 가능
  ※  본교 기준 2학기에 최초 파견된 학생만 다음 학기(1학기)에 동일대학 재지원(파견 연장) 가능</t>
    </r>
    <phoneticPr fontId="8" type="noConversion"/>
  </si>
  <si>
    <t>(대학) https://www.uni-mannheim.de/en/
(단과대학) https://www.phil.uni-mannheim.de/en/
(교환학생) https://www.uni-mannheim.de/en/academics/coming-to-mannheim/exchange-students/
(강의정보) https://www.uni-mannheim.de/en/academics/coming-to-mannheim/exchange-students/courses/</t>
    <phoneticPr fontId="8" type="noConversion"/>
  </si>
  <si>
    <t>· Winter : Oct-Mar
· Summer : Apr-Sep</t>
  </si>
  <si>
    <r>
      <t>1. 특이사항</t>
    </r>
    <r>
      <rPr>
        <sz val="10"/>
        <color rgb="FFFF0000"/>
        <rFont val="맑은 고딕"/>
        <family val="3"/>
        <charset val="129"/>
      </rPr>
      <t xml:space="preserve">
(선발인원) 학부 2명, 대학원 2명 별도 선발
  ※ 대학원 지원(선발)인원 0명이더라도, 학부 선발인원은 최대 2명 한도</t>
    </r>
    <phoneticPr fontId="8" type="noConversion"/>
  </si>
  <si>
    <t>(대학) https://en.fh-muenster.de/
(단과대학) https://en.fh-muenster.de/msb/index.php
(교환학생) https://www.fh-muenster.de/en/internationaloffice/aus-dem-ausland/austausch-studierende
(강의정보) https://www.fh-muenster.de/en/msb/ofis/inba
(주거정보) https://www.stw-muenster.de/en/wohnanlage/wilhelmskamp/</t>
    <phoneticPr fontId="8" type="noConversion"/>
  </si>
  <si>
    <t>· Winter : Oct-Feb
· Summer : Mar-Jul</t>
    <phoneticPr fontId="8" type="noConversion"/>
  </si>
  <si>
    <r>
      <t xml:space="preserve">1. 제한사항
(추가심사) Design : 파견대학 주관 별도 포트폴리오 심사 후 최종 선발(수용)여부 결정
(수강제한) 일부과목 수강제한(별도 확인 필요)
</t>
    </r>
    <r>
      <rPr>
        <sz val="10"/>
        <color rgb="FFFF0000"/>
        <rFont val="맑은 고딕"/>
        <family val="3"/>
        <charset val="129"/>
      </rPr>
      <t>(우대사항)  관광컨벤션학과 지원자 우선 선발
2. 특이사항
(선발인원) 아래와 같이 부산대 소속 단과대학별 TO 분리하여 선발
 A. 관광컨벤션학과 소속 학생(본/복수전공 기준) : 2명
 B. 타 단과대학 소속 학생 : 1명</t>
    </r>
    <phoneticPr fontId="8" type="noConversion"/>
  </si>
  <si>
    <t>(대학) http://www.hm.edu/en
(교환학생) https://hm.edu/en/your_stay_at_hm/exchange_students/index.en.html
(강의정보) https://hm.edu/en/course_offerings/courses_in_english/index.en.html
(주거정보) https://hm.edu/en/your_stay_at_hm/students/exchange/accommodation.en.html</t>
    <phoneticPr fontId="8" type="noConversion"/>
  </si>
  <si>
    <t>1. 제한사항
(지원제한) According to our admission requirements the exchange programme must be in coherence with the study programme at the home university (i.e. a student from Biology cannot join the exchange programme for Law students). Therefore, the selected major should be relevant for the studies at the home university. The level of studies should be in coherence as well (e.g. Bachelor level students must apply for Bachlor level exchange programmes, etc.).
(가능전공) African Verbal and Visual Arts/ Business Administration/ Computer Science/ Economics/ History/ Law/ Philosohy &amp; Economics/ Sport, Business and Law/ English and American Studies
(수강제한)
 A. '강의정보' 링크를 참고하여, 소속 희망 전공의 영어강의 개설 여부 등을 확인 후 지원
 B. no restrictions but taking courses from our different campuses might be complicated thinking about logistics
2. 특이사항
(어학과정) https://www.sz.uni-bayreuth.de/en/sprachen-und-kurse/index.html</t>
    <phoneticPr fontId="8" type="noConversion"/>
  </si>
  <si>
    <t>(대학) https://www.uni-bayreuth.de/en
(교환학생) https://www.international-office.uni-bayreuth.de/de/come-to-bayreuth/exchange-students/index.html
(강의정보) https://www.sz.uni-bayreuth.de/en/sprachen-und-kurse/index.html,https://my.uni-bayreuth.de/cmlife/s/organizations/14097/sub-organizations
(주거정보) https://www.gamechanger-campus.de/en/accommodation</t>
    <phoneticPr fontId="8" type="noConversion"/>
  </si>
  <si>
    <t>· Winter : Oct-Mar
· Summer : Apr-Aug</t>
    <phoneticPr fontId="8" type="noConversion"/>
  </si>
  <si>
    <r>
      <t xml:space="preserve">1. 제한사항
(수강제한)
 A. Exchange students can select courses from all faculties.
 B. The only caveats are Business Administration, Communication Science, and Psychology, as students who do not major in these fields need to first contact the individual lecturers to ask whether they may take part in their class.
(강의언어) Mostly German, some courses are available in English.
</t>
    </r>
    <r>
      <rPr>
        <sz val="10"/>
        <color rgb="FFFF0000"/>
        <rFont val="맑은 고딕"/>
        <family val="3"/>
        <charset val="129"/>
      </rPr>
      <t xml:space="preserve">2. 특이사항
(우대사항)  독일어 지원자 우선 선발
  ※ 독일어 지원자 2명을 최우선 선발하며(총점 기준, 독일어 지원자 간 제한 경쟁), 그 외 인원은 지원언어와 관계없이 내부기준에 따라 선발 예정 </t>
    </r>
    <phoneticPr fontId="8" type="noConversion"/>
  </si>
  <si>
    <t>(대학) https://www.uni-bamberg.de/en/
(교환학생) https://www.uni-bamberg.de/en/studies/exchange-students-eg-erasmus/
(강의정보) https://www.uni-bamberg.de/en/studies/exchange-students-eg-erasmus/what-can-i-study/
(주거정보) https://www.uni-bamberg.de/en/studies/exchange-students-eg-erasmus/next-steps/</t>
    <phoneticPr fontId="8" type="noConversion"/>
  </si>
  <si>
    <t>· Winter : Oct-Mar
· Summer : Apr-Sep</t>
    <phoneticPr fontId="8" type="noConversion"/>
  </si>
  <si>
    <t>1. 제한사항
(수강제한)
 A. Human Medicine/ Veterinary Medicine/ Pharmacy/ Law/ Business administration/ Economics 관계 과목
  ※  Enrollment in biochemistry, bioinformatics, and biology courses is subject to availability of lab classes and prior approval by the institute/department. 
 B. Almost all subjects at undergraduate level are taught in German. Please note that subjects taught in English outside the Departments of English and North American Studies are very limited in number.
 C. Students must have an English language level of C1 to attend courses at the John F. Kennedy Institute for North American Studies. Availability may vary and cannot be guaranteed.
(참고사항) Almost all subjects at undergraduate level are taught in German.
2. 특이사항
(우대사항) 어학성적 보유자를 우선 선발하되, 독일어 지원자를 최우선
  ※ (1순위) 독일어 어학성적 보유자 &gt; (2순위) 영어 어학성적 보유자 &gt; (3순위) 독일어 학습 희망자
  ※ 어학성적 외 사항은 내부기준에 따라 배점 부여, 총점순 선발</t>
    <phoneticPr fontId="8" type="noConversion"/>
  </si>
  <si>
    <t>(대학) https://www.fu-berlin.de/en/
(교환학생) https://www.fu-berlin.de/en/studium/international/studium_fu/auslandssemester/direktaustausch_in/index.html
(강의정보) https://www.fu-berlin.de/vv/en/fb
(세부사항) https://www.fu-berlin.de/studium/international/media/Flyer-Student-Exchange-FU-Berlin.pdf
(주거정보) https://www.fu-berlin.de/en/sites/unterbringung/index.html</t>
    <phoneticPr fontId="8" type="noConversion"/>
  </si>
  <si>
    <t>· Fall/Winter : Oct-Mar
· Spring/Summer : Apr-Sep</t>
    <phoneticPr fontId="8" type="noConversion"/>
  </si>
  <si>
    <t>1. 제한사항
(수강제한) we accept business and tourism students at our School (Faculty 1)</t>
    <phoneticPr fontId="8" type="noConversion"/>
  </si>
  <si>
    <t>(대학) https://www.hs-bremen.de/en/
(단과대학) https://www.hs-bremen.de/en/hsb/faculties/school-of-international-business/
(교환학생) https://www.hs-bremen.de/en/information-for/international-students/exchange-students/hochschule-bremen-experience/
(강의정보) https://www.hs-bremen.de/en/information-for/international-students/exchange-students/english-stream/school-of-international-business/
(주거정보) off-campus, single or shared rooms or apartments via intorooms@hs-bremen.de</t>
    <phoneticPr fontId="8" type="noConversion"/>
  </si>
  <si>
    <t>· Fall : Oct-Mar
· Spring : Apr-Sep</t>
  </si>
  <si>
    <t>1. 제한사항
(어학기준 상향) 정치학 강의 수강 희망자의 경우, TOEFL iBT 90 이상
(연속파견 제한) 파견대학 규정에 따라, 동일 학년도(Academic Year) 내에서만 재지원(=재선발=파견 연장) 가능
※  본교 기준 2학기에 최초 파견된 학생만 다음 학기(1학기)에 동일대학 재지원(파견 연장) 가능</t>
    <phoneticPr fontId="8" type="noConversion"/>
  </si>
  <si>
    <t>(대학) https://www.hs-bremen.de/en/
(교환학생) https://www.hs-bremen.de/en/information-for/exchange-students/
(강의정보) https://www.hs-bremen.de/en/information-for/exchange-
students/english-stream/
(주거정보) Only off-campus private accomodation</t>
    <phoneticPr fontId="8" type="noConversion"/>
  </si>
  <si>
    <r>
      <t xml:space="preserve">1. 제한사항
(지원불가) Medicine and Music are not open to exchange students
(수강제한) Most law courses are only available to students who major in Law at their home university. Some law courses require a C1 level in English
(수강신청) 최대 2개 Faculty의 강의에 대해 수강신청 가능하나, 각 Faculty 및 강의별 수강요건(어학 등)을 개별적으로 충족해야 함
(영어강의 개설 전공) Business and Economics/ Law/ Computer Science/ English and American Studies(Literature and Linguistics)/ Material Science(only MS)
  ※ 아우크스부르크대학의 경우, 약 90%의 수업이 독일어로 진행되고 있으며, 상기 영어강의 개설 전공 외 타 전공의 경우 영어강의 개설 여부를 보장할 수 없음
2. 특이사항
(우대사항)  독일어 지원자 우선 선발
  ※ 독일어 지원자 2명을 최우선 선발하며(총점 기준, 독일어 지원자 간 제한 경쟁), 그 외 인원은 지원언어와 관계없이 내부기준에 따라 선발
</t>
    </r>
    <r>
      <rPr>
        <sz val="10"/>
        <color rgb="FFFF0000"/>
        <rFont val="맑은 고딕"/>
        <family val="3"/>
        <charset val="129"/>
      </rPr>
      <t xml:space="preserve">(증빙자료) 기초 독일어 수업 수강 내역을 증빙할 수 있는 자료 제출
  ※ 예시 : 영문 성적표(교양 기초독일어 수강 내역 및 성적 확인), 괴테 인스티튜트 A1과정 수료증, 온라인 독일어 학원 수업 수료증 등
  ※ 증빙자료는 </t>
    </r>
    <r>
      <rPr>
        <u/>
        <sz val="10"/>
        <color rgb="FFFF0000"/>
        <rFont val="맑은 고딕"/>
        <family val="3"/>
        <charset val="129"/>
      </rPr>
      <t>교환학생 지원서 제출 시 반드시 함께 제출</t>
    </r>
    <r>
      <rPr>
        <sz val="10"/>
        <color rgb="FFFF0000"/>
        <rFont val="맑은 고딕"/>
        <family val="3"/>
        <charset val="129"/>
      </rPr>
      <t>하여야 하며, 서류 미비 또는 미제출 시 지원자격 미충족으로 간주하여 처리 예정</t>
    </r>
  </si>
  <si>
    <t>(대학) https://www.uni-augsburg.de/en/
(교환학생) https://www.uni-augsburg.de/en/portal/internationals/weltweit-incoming/
(강의정보) https://www.uni-augsburg.de/en/portal/internationals/kursangebot/
(주거정보) https://www.uni-augsburg.de/en/portal/internationals/dormitories_exchange/</t>
    <phoneticPr fontId="8" type="noConversion"/>
  </si>
  <si>
    <t>1. 제한사항
(수강제한) 전공 제한은 없으나, 희망 과목의 선수지식·정원 등에 따라 수강이 제한될 수 있음</t>
    <phoneticPr fontId="8" type="noConversion"/>
  </si>
  <si>
    <t>(대학) https://www.uni-osnabrueck.de/en
(교환학생) https://www.uni-osnabrueck.de/en/studying/our-study-programs/exchange-studies-at-osnabrueck-university
(강의정보) https://www.uni-osnabrueck.de/en/studying/our-study-programs/exchange-studies-at-osnabrueck-university/course-offer-for-exchange-students
(주거정보) We do have a contingent of rooms in the dorms for our exchange students.</t>
    <phoneticPr fontId="8" type="noConversion"/>
  </si>
  <si>
    <t>· Winter : Sep-Feb
· Summer : Mar-Aug</t>
  </si>
  <si>
    <t>1. 제한사항
(수강제한) The majority of courses has to be taken at the Faculty of Agricultural Sciences and Landscape Architecture. If there is interest in taking additional courses offered by other faculties, we will have to check with the other faculties if this is possible.</t>
  </si>
  <si>
    <t>(대학) https://www.hs-osnabrueck.de/en/
(단과대학) https://www.hs-osnabrueck.de/en/university/faculties/aul/
(교환학생) https://www.hs-osnabrueck.de/en/university/faculties/agricultural-sciences-and-landscape-architecture-aul/international/
(강의정보) https://www.hs-osnabrueck.de/en/university/faculties/agricultural-sciences-and-landscape-architecture-aul/international/modules-taught-in-english/
(주거정보) https://www.hs-osnabrueck.de/en/housing-service/#c26647</t>
    <phoneticPr fontId="8" type="noConversion"/>
  </si>
  <si>
    <t>· Fall : Oct-Mar
· Spring : Mar-Aug</t>
  </si>
  <si>
    <t>1, 제한사항
(지원제한) Medicine 등 파견대학의 fee-paying 전공 소속/수강 불가
(수강제한) we need to identify one major subject to enrol the students (previous knowledge of the subject is mandatory), but students may also join courses from other areas (previouis knowledge is usually required as well)</t>
  </si>
  <si>
    <t>(대학) https://uol.de/en
(교환학생) https://uol.de/en/exchange-studies
(강의정보) https://elearning.uni-oldenburg.de/plugins.php/veranstaltungsverzeichnis_lvsg/englishmodules?cancel_login=1
(주거정보) https://uol.de/en/study-in-oldenburg/organise-your-stay/finding-accomodation-1</t>
    <phoneticPr fontId="8" type="noConversion"/>
  </si>
  <si>
    <t>1. 제한사항
(수강제한) Exchange students should mainly choose modules within their field of study stated. Some classes have restrictions in terms of number of participants.</t>
    <phoneticPr fontId="8" type="noConversion"/>
  </si>
  <si>
    <t xml:space="preserve">(대학) https://www.tu-clausthal.de/en/
(교환학생) https://www.izc.tu-clausthal.de/en/ways-to-tu-clausthal/incoming-worldwide/application
(영어강의) https://www.izc.tu-clausthal.de/en/language-center/english
(강의정보) https://qis.tuc.hispro.de/qisserver/rds?state=wtree&amp;search=1&amp;category=veranstaltung.browse&amp;navigationPosition=lectures%2Clectureindex&amp;breadcrumb=lectureindex&amp;topitem=lectures&amp;subitem=lectureindex&amp;noDBAction=y&amp;init=y
(주거정보) https://stw-on.de/en/clausthal-zellerfeld/housing </t>
    <phoneticPr fontId="8" type="noConversion"/>
  </si>
  <si>
    <r>
      <t xml:space="preserve">1. 제한사항
(수강제한) 과목별 언어 수준 별도 확인 필요 : Check the course description or contact the course instructor to confirm the exact language requirements.
</t>
    </r>
    <r>
      <rPr>
        <sz val="10"/>
        <color rgb="FFFF0000"/>
        <rFont val="맑은 고딕"/>
        <family val="3"/>
        <charset val="129"/>
      </rPr>
      <t>(연속파견 제한) 파견대학 규정에 따라, 동일 학년도(Academic Year) 내에서만 재지원(=재선발=파견 연장) 가능
※  본교 기준 2학기에 최초 파견된 학생만 다음 학기(1학기)에 동일대학 재지원(파견 연장) 가능</t>
    </r>
    <phoneticPr fontId="8" type="noConversion"/>
  </si>
  <si>
    <t>(대학) https://www.uni-kiel.de/en/
(교환학생) www.international.uni-kiel.de/en/incomings/
(강의정보) https://www.international.uni-kiel.de/en/finding-courses-exchange-students?set_language=en
(주거정보) https://www.international.uni-kiel.de/en/incomings/planning-arrival-and-stay/accomodation</t>
    <phoneticPr fontId="8" type="noConversion"/>
  </si>
  <si>
    <t>· Winter : Oct-Feb
· Summer : Mar-Jul</t>
  </si>
  <si>
    <t>1. 제한사항
(지원제한) 파견시점 기준 3학년 이상(4학기 이상 이수) 학생만 지원 가능(언어 무관)
               Exchange students cannot take courses from our MBA
2. 참고사항
The following bachelor's programmes are taught entirely in English:
1) International Business Information Systems Bachelor - Furtwangen Campus
2) International Business Management – Schwenningen Campus
3) International Engineering - Schwenningen Campus
In most other study programmes some courses are taught in English. Exchange students usually select courses from several degree programmes and set up their own customised programme.
* 세부사항 확인: https://www.hs-furtwangen.de/en/study/international/exchange-students</t>
    <phoneticPr fontId="8" type="noConversion"/>
  </si>
  <si>
    <t>(대학) https://www.hs-furtwangen.de/en/
(교환학생) https://www.hs-furtwangen.de/en/study/international/exchange-students
(강의정보) https://www.hs-furtwangen.de/en/study/international/exchange-students
(주거정보) https://www.hs-furtwangen.de/en/information-directory/living-in-a-student-city</t>
    <phoneticPr fontId="8" type="noConversion"/>
  </si>
  <si>
    <t>· Winter : Oct–Mar
· Summer : Apr–Sep</t>
    <phoneticPr fontId="8" type="noConversion"/>
  </si>
  <si>
    <t>1. 제한사항
(지원제한) The minimum is usually English B2, with some exceptions where a higher level is required.
(수강제한) Students may take courses from other departments if those departments agree. Language of instruction at Goethe University is mostly German. Nevertheless, a limited number of faculties offer courses in English.
(수강신청) GSTEP program is entirely in English.
https://www.uni-frankfurt.de/172981208/Goethe_Study_Experience_Program#gstep</t>
    <phoneticPr fontId="8" type="noConversion"/>
  </si>
  <si>
    <t>(대학) https://www.uni-frankfurt.de/en
(교환학생) https://www.uni-frankfurt.de/122913225/Before_your_Mobility_to_Frankfurt
(강의정보) https://www.uni-frankfurt.de/122913225/Before_your_Mobility_to_Frankfurt?#CourseSelection
(영어강의) https://www.uni-frankfurt.de/122913225/Before_your_Mobility_to_Frankfurt#EnglishCourses
(주거정보) https://www.uni-frankfurt.de/122913225/Before_your_Mobility_to_Frankfurt#Accommodation</t>
    <phoneticPr fontId="8" type="noConversion"/>
  </si>
  <si>
    <t>· Winter : Sep-Feb
· Summer : Mar-Jul</t>
    <phoneticPr fontId="8" type="noConversion"/>
  </si>
  <si>
    <r>
      <t>1. 제한사항
(전공제한)</t>
    </r>
    <r>
      <rPr>
        <b/>
        <sz val="10"/>
        <color rgb="FF000000"/>
        <rFont val="맑은 고딕"/>
        <family val="3"/>
        <charset val="129"/>
      </rPr>
      <t xml:space="preserve"> Business Faculty:</t>
    </r>
    <r>
      <rPr>
        <sz val="10"/>
        <color rgb="FF000000"/>
        <rFont val="맑은 고딕"/>
        <family val="3"/>
        <charset val="129"/>
      </rPr>
      <t xml:space="preserve"> (1) 본교 </t>
    </r>
    <r>
      <rPr>
        <u/>
        <sz val="10"/>
        <color rgb="FF000000"/>
        <rFont val="맑은 고딕"/>
        <family val="3"/>
        <charset val="129"/>
      </rPr>
      <t>주전공이 경영학과</t>
    </r>
    <r>
      <rPr>
        <sz val="10"/>
        <color rgb="FF000000"/>
        <rFont val="맑은 고딕"/>
        <family val="3"/>
        <charset val="129"/>
      </rPr>
      <t xml:space="preserve">거나 (2) </t>
    </r>
    <r>
      <rPr>
        <u/>
        <sz val="10"/>
        <color rgb="FF000000"/>
        <rFont val="맑은 고딕"/>
        <family val="3"/>
        <charset val="129"/>
      </rPr>
      <t>부/복수전공이 경영학과면서 경영 전공 최소 6과목 이상 이수</t>
    </r>
    <r>
      <rPr>
        <sz val="10"/>
        <color rgb="FF000000"/>
        <rFont val="맑은 고딕"/>
        <family val="3"/>
        <charset val="129"/>
      </rPr>
      <t xml:space="preserve">한 경우에만 지원 가능
(수강제한) Civil Engineering only in German
</t>
    </r>
    <r>
      <rPr>
        <b/>
        <sz val="10"/>
        <color rgb="FFFF0000"/>
        <rFont val="맑은 고딕"/>
        <family val="3"/>
        <charset val="129"/>
      </rPr>
      <t>(재파견불가) 해당 대학의 경우, 교환학생 최대 수학기간을 1학기로 제한</t>
    </r>
    <phoneticPr fontId="8" type="noConversion"/>
  </si>
  <si>
    <t>(대학) https://www.frankfurt-university.de/en/
(교환학생) https://www.frankfurt-university.de/en/studies/international-office/incomings/exchange/
(강의정보) https://www.frankfurt-university.de/en/studies/international-office/incomings/exchange/courses-2627/
(주거정보) https://www.frankfurt-university.de/en/studies/international-office/incomings/exchange/living-in-frankfurt/</t>
    <phoneticPr fontId="8" type="noConversion"/>
  </si>
  <si>
    <r>
      <t xml:space="preserve">1. 제한사항
(수강제한) Closed for exchange students: dentistry, pharmacy and, starting in Winter 2027/28, psychology until further notice.
2. 특이사항
All faculties of the University of Hamburg are open for exchange students. The final decision on acceptance is taken by the faculties.
 The Faculties of Business Administration and Business, Economics and Social Sciences only accept students enrolled in matching programs and able to show completion of introductory classes in that field on their transcripts. The Faculty of Medicine accepts applications only once per year.
※ Undergraduate students planning on taking courses in English: contact us before nomination unless you can find enough courses in the previous year’s list corresponding to the semester the student wishes to attend (summer/winter): www.uni-hamburg.de/en-central-exchanges-incoming </t>
    </r>
    <r>
      <rPr>
        <sz val="10"/>
        <color rgb="FF000000"/>
        <rFont val="Segoe UI Symbol"/>
        <family val="3"/>
      </rPr>
      <t>➔</t>
    </r>
    <r>
      <rPr>
        <sz val="10"/>
        <color rgb="FF000000"/>
        <rFont val="맑은 고딕"/>
        <family val="3"/>
        <charset val="129"/>
      </rPr>
      <t xml:space="preserve"> Useful links for planningyour courses</t>
    </r>
    <phoneticPr fontId="8" type="noConversion"/>
  </si>
  <si>
    <t>(교환학생) https://www.uni-hamburg.de/en/internationales/studierende/incoming/austausch-gaststudium/zentralaustausch-incoming.html
(강의정보) www.uni-hamburg.de/en-central-exchanges-incoming
※ Useful links for planning your courses 탭 확인 
(주거정보) A limited number of rooms in student residences are available for incoming exchange students.</t>
    <phoneticPr fontId="8" type="noConversion"/>
  </si>
  <si>
    <t>· Winter : Sep-Mar
· Summer : Mar-Jul</t>
  </si>
  <si>
    <t>1. 제한사항
(지원제한) 아래 3개 단과대학(전공)에만 지원, 소속 가능
- Faculty of Agriculture
- Faculty of Natural Sciences
- Faculty of Business, Economics and Social Sciences
(수강제한) Students have to ensure that they meet all individual prerequisites for the modules they wish to attend.</t>
    <phoneticPr fontId="8" type="noConversion"/>
  </si>
  <si>
    <t xml:space="preserve">(대학) https://www.uni-hohenheim.de/en/
(단과대학) https://www.uni-hohenheim.de/en
(교환학생) https://www.uni-hohenheim.de/en/exchange-students-and-free-movers
(주거정보) https://www.uni-hohenheim.de/en/housing-at-university-of-hohenheim-for-international-students </t>
    <phoneticPr fontId="8" type="noConversion"/>
  </si>
  <si>
    <t>(해당 없음)</t>
    <phoneticPr fontId="8" type="noConversion"/>
  </si>
  <si>
    <t>(대학) https://www.heip.fr/en/
(교환학생) https://www.heip.fr/en/exchange-opportunities-with-heip/</t>
    <phoneticPr fontId="8" type="noConversion"/>
  </si>
  <si>
    <t>· Autumn : Aug-Jan
· Spring : Feb-Jun</t>
  </si>
  <si>
    <t>1. 제한사항
(수강제한) Music/ Art : 부산대에서 해당 학문분야를 전공하고, 해당 학과/강의에서 교환학생의 수강을 허용하는 경우에만 수강신청 가능</t>
    <phoneticPr fontId="8" type="noConversion"/>
  </si>
  <si>
    <t>(대학) https://www.vdu.lt/en/
(교환학생) https://www.vdu.lt/en/international-cooperation/for-students/vmu-bilateral-exchange-studies/incoming-exchange-students/
(강의정보) https://www.vdu.lt/en/international-cooperation/for-students/courses/
(주거정보) https://apgyvendinimas.vdu.lt/en/home/</t>
    <phoneticPr fontId="8" type="noConversion"/>
  </si>
  <si>
    <t>· Autumn : Sep-Feb
· Spring : Feb-Aug</t>
  </si>
  <si>
    <r>
      <t xml:space="preserve">1. 제한사항
(수강제한) 
- Students must take courses alligning with their major at home university.
- Courses from the Institute of International Relations and Political Science can be selected only by students in political study area. Most courses in the Faculty of Medicine are open only to medical students.
2. 특이사항
</t>
    </r>
    <r>
      <rPr>
        <sz val="10"/>
        <color rgb="FF0000FF"/>
        <rFont val="맑은 고딕"/>
        <family val="3"/>
        <charset val="129"/>
      </rPr>
      <t>(기숙사) 양교 간 협정에 따라, 파견대학 기숙사 무료 제공</t>
    </r>
    <phoneticPr fontId="8" type="noConversion"/>
  </si>
  <si>
    <t>(대학) https://www.vu.lt/en/
(교환학생) https://www.old.vu.lt/en/studies/exchange-students/how-to-apply
(강의정보) https://is.vu.lt/pls/pub/vustud.public_ni$wwwtprs.dalsar_show
(주거정보) https://www.vu.lt/en/students/services-for-students/accommodation</t>
    <phoneticPr fontId="8" type="noConversion"/>
  </si>
  <si>
    <t>· 1st : Jan-Jun
· 2nd : Jul-Dec</t>
  </si>
  <si>
    <t>1. 제한사항
(지원제한) Medicine
  ※ 과나후아토대학의 경우, 모든 수업이 스페인어로 진행, 해당 사항을 충분히 고려 후 지원할 것</t>
    <phoneticPr fontId="8" type="noConversion"/>
  </si>
  <si>
    <t>(대학) https://www3.ugto.mx/en/
(교환학생) www.ugto.mx/internacional
(주거정보) Please apply to international@ugto.mx</t>
    <phoneticPr fontId="8" type="noConversion"/>
  </si>
  <si>
    <t>1. 제한사항
(수강제한) There are no major restrictions, but classes with in-classroom hours in TESOL are restricted due to government regulations for background checks.</t>
    <phoneticPr fontId="8" type="noConversion"/>
  </si>
  <si>
    <t xml:space="preserve">(대학) https://ww1.oswego.edu/
(교환학생) https://ww1.oswego.edu/international/exchange-students
(강의정보) https://catalog.oswego.edu/content.php?catoid=62&amp;navoid=8542
(주거정보) on campus </t>
    <phoneticPr fontId="8" type="noConversion"/>
  </si>
  <si>
    <t>1. 제한사항
(수강제한) Clinical Psychology, some nursing and education, music courses may not be available.</t>
  </si>
  <si>
    <t>(대학) https://www.gsu.edu/
(교환학생) https://www.studyabroad.gsu.edu/index.cfm?FuseAction=Programs.ViewProgramAngular&amp;id=22176
(강의정보) https://catalogs.gsu.edu/
(주거정보) https://myhousing.gsu.edu/</t>
  </si>
  <si>
    <t>· 1st : Aug-Dec
· 2nd : Jan-May</t>
  </si>
  <si>
    <r>
      <t>1. 제한사항
(지원제한) Nursing/ Medical School
(수강제한)</t>
    </r>
    <r>
      <rPr>
        <b/>
        <sz val="10"/>
        <color rgb="FF000000"/>
        <rFont val="맑은 고딕"/>
        <family val="3"/>
        <charset val="129"/>
      </rPr>
      <t xml:space="preserve"> Major matching between the home and host institutions is mandatory</t>
    </r>
    <r>
      <rPr>
        <sz val="10"/>
        <color rgb="FF000000"/>
        <rFont val="맑은 고딕"/>
        <family val="3"/>
        <charset val="129"/>
      </rPr>
      <t>. Off-campus classes, such as internship courses, are not available to exchange students.</t>
    </r>
    <phoneticPr fontId="8" type="noConversion"/>
  </si>
  <si>
    <t>(대학) https://www.utrgv.edu/
(교환학생) https://www.utrgv.edu/iss/
(영어강의) https://webapps.utrgv.edu/aa/dm/#/
(주거정보) https://www.utrgv.edu/housing</t>
    <phoneticPr fontId="8" type="noConversion"/>
  </si>
  <si>
    <t>· Autumn : Sep-Jan
· Spring : Feb-Jun</t>
    <phoneticPr fontId="8" type="noConversion"/>
  </si>
  <si>
    <t>1. 특이사항
(유의사항) 팀프로젝트 수업 다수 - 파견대학 국제처 공식 안내사항</t>
  </si>
  <si>
    <t>(대학) https://www.arteveldehogeschool.be/en/
(교환학생) https://www.arteveldehogeschool.be/en/programmes/international-semester-programme/artevelde-business-school
(강의정보) https://www.arteveldehogeschool.be/en/programmes/international-semester-programme/artevelde-business-school
(주거정보) https://www.arteveldehogeschool.be/en/student-housing-exchange-students</t>
    <phoneticPr fontId="8" type="noConversion"/>
  </si>
  <si>
    <t>· Fall : Sep-Feb
· Spring : Feb-Jun</t>
  </si>
  <si>
    <r>
      <t xml:space="preserve">1. 제한사항
(수강제한)
- Bachelor level students are not allowed to take courses at Master’s level
- Courses may be chosen from two different Faculties/Institutes at the most
- Geneva School of Economics and Management, Faculty of Law,
English Literature/English Linguistics &gt;students must be registered (major) in this field in their home University
※ 제한사항 확인: https://www.unige.ch/exchange/en/incoming/why-geneva/students/international-non-erasmus-students/2-admission-conditions/restrictions
2. 특이사항: </t>
    </r>
    <r>
      <rPr>
        <b/>
        <sz val="10"/>
        <rFont val="맑은 고딕"/>
        <family val="3"/>
        <charset val="129"/>
      </rPr>
      <t>수업 주요 언어-프랑스어(단, 일부 전공 및 과목은 영어 강의 운영)</t>
    </r>
    <phoneticPr fontId="8" type="noConversion"/>
  </si>
  <si>
    <t>(대학) https://www.unige.ch/
(교환학생) https://www.unige.ch/exchange/en/incoming/why-geneva/students/international-non-erasmus-students
(강의정보) https://pgc.unige.ch/main/home?year=2025&amp;fac=default-value
(세부사항) https://www.unige.ch/exchange/application/files/9617/6474/9111/UNIGE_Info_sheet_for_students_26-27_Monde.pdf</t>
    <phoneticPr fontId="8" type="noConversion"/>
  </si>
  <si>
    <t>· Autumn : Sep-Jan
· Spring : Jan-Jun</t>
  </si>
  <si>
    <t>1. 제한사항
(수강제한) students can choose from our entire offering, but can only get admitted to courses for which they fulfill the prerequisites</t>
  </si>
  <si>
    <t>(대학) https://lnu.se/en/
(교환학생) https://www.lnu.se/en/education/exchange-studies/
(강의정보) https://lnu.se/en/education/exchange-studies/courses-and-programmes-for-exchange-students/
(영어강의) https://lnu.se/en/education/exchange-studies/courses-and-programmes-for-exchange-students/?teachinglanguage=English</t>
    <phoneticPr fontId="8" type="noConversion"/>
  </si>
  <si>
    <t>(전공매칭) 인문·사회과학 분야 과목을 제공하며, 해당 분야를 전공하거나 학습한 학생 지원 권장
(유의사항) 영어강의는 각 과목의 Entry Requirement를 충족해야 수강 가능</t>
    <phoneticPr fontId="8" type="noConversion"/>
  </si>
  <si>
    <t>(대학) https://www.sh.se/
(교환학생) https://www.sh.se/exchange
(강의정보) https://www.sh.se/english/sodertorn-university/programmes--courses/find-programmes--courses?periods=SS2027&amp;type=Course&amp;studentType=Exchange%20students
(주거정보, Off-campus) https://www.sh.se/accommodation</t>
    <phoneticPr fontId="8" type="noConversion"/>
  </si>
  <si>
    <t>· 1st(Autumn): Sep-Dec
· 2nd(Spring): Feb-Jun</t>
    <phoneticPr fontId="8" type="noConversion"/>
  </si>
  <si>
    <t>(해당 없음)</t>
  </si>
  <si>
    <t>(대학) https://www.deusto.es/en/
(교환학생) http://www.international.deusto.es/
(강의정보) https://www.deusto.es/en/home/international/international-students/academic-offer
(주거정보) https://www.deusto.es/en/home/campus-life/services/accommodation</t>
    <phoneticPr fontId="8" type="noConversion"/>
  </si>
  <si>
    <t>1. 제한사항
(수강제한) Students cannot take Final Degree Projects or Internships unless agreed by academic coordinator.
※ Students are restricted to taking English taught courses or English Friendly Programme courses if they cannot certify a B1 level of Spanish.</t>
    <phoneticPr fontId="8" type="noConversion"/>
  </si>
  <si>
    <t>(대학) https://www.ubu.es/english-version
(교환학생) https://www.ubu.es/english-version/international-students
(강의정보) https://www.ubu.es/english-version/international-students/academic-offer-courses-available-english-english-friendly-courses/courses-available-english-language-and-english-friendly
(주거정보) https://www.ubu.es/english-version/international-students/ects-guide-practical-information-about-burgos-and-ubu-foreign-students-and-visitors/accommodation</t>
    <phoneticPr fontId="8" type="noConversion"/>
  </si>
  <si>
    <t>1. 제한사항
(수강제한) Exchange students can only take undergraduate level courses at SMU</t>
  </si>
  <si>
    <t>(대학) http://www.smu.edu.sg/
(교환학생) https://geo.smu.edu.sg/study-in-smu/international-student-exchange-programme
(강의정보) https://courses.smu.edu.sg/courses</t>
    <phoneticPr fontId="8" type="noConversion"/>
  </si>
  <si>
    <t>1. 제한사항
(수강제한) 교환학생은 상단 (강의정보) 링크의 Visiting Student Handbook에 명시된 강의에 한하여 수강 가능
  ※ 이공계열 강의(Sciences and Engineering Courses)의 경우, 수강신청 이후 개설학과 및 강의자의 별도 평가에 따라 수강이 불가할 수 있음</t>
  </si>
  <si>
    <t>(대학) https://www.universityofgalway.ie/
(교환학생) https://www.universityofgalway.ie/international-students/studyabroad.html
(강의정보) https://www.universityofgalway.ie/global-galway/inboundstudyabroad/ourprogramme/
(주거정보) https://www.universityofgalway.ie/global-galway/inboundstudyabroad/accommodation/</t>
  </si>
  <si>
    <t>· Autumn : Sep-Feb
· Spring : Feb-Jun</t>
  </si>
  <si>
    <r>
      <t xml:space="preserve">1. 제한사항
(소속제한) Medicine 전공 소속 및 수강 불가
</t>
    </r>
    <r>
      <rPr>
        <sz val="10"/>
        <color rgb="FFFF0000"/>
        <rFont val="맑은 고딕"/>
        <family val="3"/>
        <charset val="129"/>
      </rPr>
      <t>(연속파견 제한) 파견대학 규정에 따라, 동일 학년도(Academic Year) 내에서만 재지원(=재선발=파견 연장) 가능
※  본교 기준 2학기에 최초 파견된 학생만 다음 학기(1학기)에 동일대학 재지원(파견 연장) 가능</t>
    </r>
    <phoneticPr fontId="8" type="noConversion"/>
  </si>
  <si>
    <t>(대학) https://ut.ee/en/
(교환학생) https://ut.ee/en/content/exchange-studies
(강의정보) https://ut.ee/en/courses-taught-english-and-grading
(주거정보) 
- on-campus: Raatuse Student hostel-https://studenthostel.campus.ee/
- Alternative options: https://tartuwelcomecentre.ee/basics/housing/</t>
    <phoneticPr fontId="8" type="noConversion"/>
  </si>
  <si>
    <t>1. 제한사항
(수강) Students participating in the Cumbayá Program are able to choose their courses from across USFQ's ten colleges. USFQ offers hundreds of courses each semester in Spanish and in English. Spanish language classes at all levels are also offered to international students.
2. 특이사항
Cumbayá Program 지원가능</t>
  </si>
  <si>
    <t>(교환학생) https://www.usfq.edu.ec/es/opi/internacional/estudiantes-internacionales/programas-academicos/semestre
(강의정보) https://wsexternal.usfq.edu.ec/MallaCurricular-USFQ/
(주거정보) https://www.usfq.edu.ec/en/opi/international/international-students/academic-programs/semester/cumbaya-program</t>
    <phoneticPr fontId="8" type="noConversion"/>
  </si>
  <si>
    <t>· 1st : Oct-Jan
· 2nd : Jan-May</t>
    <phoneticPr fontId="8" type="noConversion"/>
  </si>
  <si>
    <r>
      <t xml:space="preserve">1. 제한사항
</t>
    </r>
    <r>
      <rPr>
        <sz val="10"/>
        <color rgb="FFFF0000"/>
        <rFont val="맑은 고딕"/>
        <family val="3"/>
        <charset val="129"/>
      </rPr>
      <t>(재파견불가) 해당 대학의 경우, 교환학생 최대 수학기간을 1학기로 제한</t>
    </r>
    <r>
      <rPr>
        <sz val="10"/>
        <color rgb="FF000000"/>
        <rFont val="맑은 고딕"/>
        <family val="3"/>
        <charset val="129"/>
      </rPr>
      <t xml:space="preserve">
(소속제한) 1년 단위로 진행되는  biology, biomedical Sciences, computer science,
engineering, architecture, chemistry, physics, sports, mathematics 전공 소속 불가
(수강제한) 
A. Degree apprenticeship programmes에 해당하는 Medicine/ pharmacy/ nursing/ midwifery/ degree apprenticeships/ dentistry/ Accounting &amp; Finance / Economics 개설 과목 수강 불가
B. Places for exchange students on modules from our School of Arts and Media are limited and only students studying majors from this school will be considered.
C. Students can only apply for modules from their home major and are only allowed to select modules taught in their allocated school at the university of lancashire. We are no longer able to offer electives.
(추가심사) The School of Art and Media and creative arts courses such as Photography will request a portfolio / video of previous work.
2. 특이사항
(교명변경) 구. University of Central Lancashire 센트럴랭커셔대학</t>
    </r>
    <phoneticPr fontId="8" type="noConversion"/>
  </si>
  <si>
    <t>(대학) https://www.uclan.ac.uk/
(교환학생) https://www.uclan.ac.uk/study/global-opportunities/international-exchange-students
(강의정보) https://www.uclan.ac.uk/undergraduate
(주거정보) https://www.lancashire.ac.uk/accommodation</t>
    <phoneticPr fontId="8" type="noConversion"/>
  </si>
  <si>
    <t>· 1st: Sep-Dec
· 2nd: Jan-May</t>
    <phoneticPr fontId="8" type="noConversion"/>
  </si>
  <si>
    <r>
      <t xml:space="preserve">(제한사항)
Speech &amp; Language Pathology is not open to exchange students, Chemistry is full year only. 
</t>
    </r>
    <r>
      <rPr>
        <sz val="10"/>
        <color rgb="FFFF0000"/>
        <rFont val="맑은 고딕"/>
        <family val="3"/>
        <charset val="129"/>
      </rPr>
      <t>(연속파견 제한) 파견대학 규정에 따라, 동일 학년도(Academic Year) 내에서만 재지원(=재선발=파견 연장) 가능
※  본교 기준 2학기에 최초 파견된 학생만 다음 학기(1학기)에 동일대학 재지원(파견 연장) 가능</t>
    </r>
    <phoneticPr fontId="8" type="noConversion"/>
  </si>
  <si>
    <t>(대학) https://www.strath.ac.uk
(교환학생) https://www.strath.ac.uk/studywithus/studyabroad/comingtostrathclyde/studyabroadatstrathclyde/
(강의정보) https://www.strath.ac.uk/studywithus/studyabroad/comingtostrathclyde/academicinformation/guidetochoosingclasses/
(주거정보)https://www.strath.ac.uk/studywithus/accommodation/exchangestudents/</t>
    <phoneticPr fontId="8" type="noConversion"/>
  </si>
  <si>
    <t>· Autumn : Oct-Dec
· Spring : Jan-Mar</t>
  </si>
  <si>
    <t>1. 제한사항
(수강제한) No Edge Hotel School modules allowed</t>
    <phoneticPr fontId="8" type="noConversion"/>
  </si>
  <si>
    <t>(대학) https://www.essex.ac.uk/
(교환학생) https://www.essex.ac.uk/international/visiting-students/exchange-programme
(강의정보) https://www1.essex.ac.uk/modules/</t>
    <phoneticPr fontId="8" type="noConversion"/>
  </si>
  <si>
    <t>· 1st : Jan-Jun
· 2nd : Sep-Dec</t>
  </si>
  <si>
    <t>1. 제한사항
(전공매칭) Your List of Courses form which you submitted in your application, will be sent to the academic departments for approval.
(수강제한) Modules within the Medical School and School of Health and Social Care are very restricted : https://intranet.swan.ac.uk/catalogue/</t>
    <phoneticPr fontId="8" type="noConversion"/>
  </si>
  <si>
    <t>(대학) https://www.swansea.ac.uk
(교환학생) https://www.swansea.ac.uk/studyabroad/
(강의정보) https://intranet.swan.ac.uk/catalogue/
(주거정보) https://www.swansea.ac.uk/studyabroad/factsheet/accommodation/
※ 세부사항 확인: https://www.swansea.ac.uk/studyabroad/factsheet</t>
    <phoneticPr fontId="8" type="noConversion"/>
  </si>
  <si>
    <t>1. 제한사항
(전공매칭)
- Students can choose courses from one degree program and may add courses from the International Program, if wanted.
- Mixing courses from different degree programs is not possible.
(수강제한) 
- For engineering programs, prior knowledge in the respective field is required.
- Transcript of Records will be checked during the application period by the respective study department.</t>
    <phoneticPr fontId="8" type="noConversion"/>
  </si>
  <si>
    <t>(대학) https://www.mci4me.at/en/
(교환학생) https://www.mci4me.at/en/international/exchange-incoming
(강의정보) https://www.mci4me.at/en/international/courses-in-english
(주거정보) https://www.mci4me.at/en/student-life/student-life-accommodation</t>
    <phoneticPr fontId="8" type="noConversion"/>
  </si>
  <si>
    <t>· Fall : Sep-Jan
· Spring : Feb-Jun</t>
  </si>
  <si>
    <t>(강의상세) https://www.unive.it/pag/fileadmin/user_upload/inglese/international/doc/incoming/Guidelines_Course_Catalogue.pdf</t>
    <phoneticPr fontId="8" type="noConversion"/>
  </si>
  <si>
    <t>(대학) https://www.unive.it/
(교환학생) https://www.unive.it/pag/12574/
(강의정보) https://www.unive.it/data/9639/?aa=2026&amp;titolo=&amp;periodo=&amp;anno_corso=&amp;ssd=&amp;livello=&amp;cds=&amp;sede=&amp;pagina=
(주거정보) https://www.unive.it/pag/19768/</t>
    <phoneticPr fontId="8" type="noConversion"/>
  </si>
  <si>
    <t>· 1st : Sep-Jan
· 2nd : Feb-May</t>
  </si>
  <si>
    <t>1. 제한사항
(원어강의) CILS B2 이상 성적 보유자만 학위과정 일반 전공강의 수강 가능
  ※ CILS B2 미만 성적으로 지원할 경우, 파견 대학의 외국어 강의 또는 이탈리아어 어학과정를 수강하고 학점 취득 가능
(수강제한) Exchange students are allowed to take classes from different degrees but they are excluded to take courses from our online degree course “Italian language, literature and arts in an international perspective"</t>
    <phoneticPr fontId="8" type="noConversion"/>
  </si>
  <si>
    <t>(대학) https://www.unistrasi.it/
(교환학생) https://en.unisi.it/international/international-exchange-students
(강의정보)
* 전공과정: https://cluss.unistrasi.it/1/50/88/Corsi_ordinari_di_lingua_italiana.htm
* 어학과정: https://cluss.unistrasi.it/1/50/88/Corsi_di_lingua_italiana.htm
(주거정보) We help students in finding accommodation for their exchange period. For further information please contact accoglienza@unistrasi.it</t>
    <phoneticPr fontId="8" type="noConversion"/>
  </si>
  <si>
    <t>· 1st : Aug-Dec
· 2nd : Feb-Jun</t>
  </si>
  <si>
    <t>(대학) https://www.ui.ac.id/en/
(교환학생) https://international.ui.ac.id/semester-based/
(강의정보) https://international.ui.ac.id/offered-courses/
(주거정보) https://international.ui.ac.id/living-in-indonesia/</t>
    <phoneticPr fontId="8" type="noConversion"/>
  </si>
  <si>
    <t>· Spring semester : Apr-Sep
 (Quarter 1, Quarter 2)
· Fall semester : Oct-Mar
 (Quarter 3, Quarter 4)</t>
  </si>
  <si>
    <t>1. 제한사항
(지원제한) 
 A. Applicants who wish to enroll in the College of Transdisciplinary Sciences for Innovation, the College of Science and Engineering, and the College of Medical, Pharmaceutical and Health Sciences must be in their third year or higher of an undergraduate course at the time of arrival in Japan.
 B. Applicants who wish to enroll in the College of Science and Engineering, the College of Medical, Pharmaceutical and Health Sciences, the Graduate School of Natural Science and Technology, the Graduate School of Medical Sciences or the Graduate School of Advanced Preventive Medical Sciences must be students at a college or graduate school of their home university that corresponds to the respective host department and must have the ability and knowledge to take part in specialized research.
(지원자격)
Applicants wishing to enroll in the Graduate Program in Japanese Language Education and Japanese Studies must have Japanese language proficiency equivalent to JLPT N1.</t>
    <phoneticPr fontId="8" type="noConversion"/>
  </si>
  <si>
    <t>(대학) https://www.kanazawa-u.ac.jp/en
(교환학생) https://www.kanazawa-u.ac.jp/en/global-network/study/kuep/
(강의정보) https://eduweb.sta.kanazawa-u.ac.jp/portal/Public/Syllabus/SearchMain.aspx
(주거정보) https://www.kanazawa-u.ac.jp/en/global-network/study/kuep/others/#housing</t>
    <phoneticPr fontId="8" type="noConversion"/>
  </si>
  <si>
    <t>· Spring : Apr-Sep
· Fall : Oct-Mar</t>
  </si>
  <si>
    <r>
      <t>1. 특이사항
-The majority of courses for KIP/JLP students will be held at the Mita campus.</t>
    </r>
    <r>
      <rPr>
        <b/>
        <sz val="10"/>
        <rFont val="맑은 고딕"/>
        <family val="3"/>
        <charset val="129"/>
      </rPr>
      <t xml:space="preserve">
(</t>
    </r>
    <r>
      <rPr>
        <sz val="10"/>
        <rFont val="맑은 고딕"/>
        <family val="3"/>
        <charset val="129"/>
      </rPr>
      <t>수강제한</t>
    </r>
    <r>
      <rPr>
        <b/>
        <sz val="10"/>
        <rFont val="맑은 고딕"/>
        <family val="3"/>
        <charset val="129"/>
      </rPr>
      <t>)</t>
    </r>
    <r>
      <rPr>
        <sz val="10"/>
        <rFont val="맑은 고딕"/>
        <family val="3"/>
        <charset val="129"/>
      </rPr>
      <t xml:space="preserve">
The following courses are not open to exchange students. In addition, due to different semester/ term systems, Keio Business School </t>
    </r>
    <r>
      <rPr>
        <b/>
        <sz val="10"/>
        <rFont val="맑은 고딕"/>
        <family val="3"/>
        <charset val="129"/>
      </rPr>
      <t>(</t>
    </r>
    <r>
      <rPr>
        <sz val="10"/>
        <rFont val="맑은 고딕"/>
        <family val="3"/>
        <charset val="129"/>
      </rPr>
      <t>KBS</t>
    </r>
    <r>
      <rPr>
        <b/>
        <sz val="10"/>
        <rFont val="맑은 고딕"/>
        <family val="3"/>
        <charset val="129"/>
      </rPr>
      <t>)</t>
    </r>
    <r>
      <rPr>
        <sz val="10"/>
        <rFont val="맑은 고딕"/>
        <family val="3"/>
        <charset val="129"/>
      </rPr>
      <t xml:space="preserve"> courses are not open to exchange students except for faculty-level exchange students from Copenhagen Business School </t>
    </r>
    <r>
      <rPr>
        <b/>
        <sz val="10"/>
        <rFont val="맑은 고딕"/>
        <family val="3"/>
        <charset val="129"/>
      </rPr>
      <t>(</t>
    </r>
    <r>
      <rPr>
        <sz val="10"/>
        <rFont val="맑은 고딕"/>
        <family val="3"/>
        <charset val="129"/>
      </rPr>
      <t>CBS</t>
    </r>
    <r>
      <rPr>
        <b/>
        <sz val="10"/>
        <rFont val="맑은 고딕"/>
        <family val="3"/>
        <charset val="129"/>
      </rPr>
      <t>)</t>
    </r>
    <r>
      <rPr>
        <sz val="10"/>
        <rFont val="맑은 고딕"/>
        <family val="3"/>
        <charset val="129"/>
      </rPr>
      <t>.
- Physical education courses
- Teacher training courses
- Courses in the School of Medicine
- Foreign language courses *Japanese language is excluded</t>
    </r>
    <phoneticPr fontId="8" type="noConversion"/>
  </si>
  <si>
    <t>(대학) https://www.keio.ac.jp/en/
(교환학생) https://www.ic.keio.ac.jp/en/study/exchange/
(강의정보) https://www.ic.keio.ac.jp/en/study/exchange/courses/courses_available_for_exchange_students.html
(주거정보) https://www.ic.keio.ac.jp/en/study/exchange/housing.html</t>
    <phoneticPr fontId="8" type="noConversion"/>
  </si>
  <si>
    <t>1. 특이사항
(파견문의) 해당 대학의 경우 교환학생 관련 자료가 극히 제한되어 있으므로, 더 궁금한 사항이 있는 경우 파견대학 국제처에 직접 문의
  ※ (담당자) kokusai@kpu.ac.jp</t>
  </si>
  <si>
    <r>
      <t xml:space="preserve">(대학) https://www.kpu.ac.jp/university/
</t>
    </r>
    <r>
      <rPr>
        <sz val="10"/>
        <color rgb="FF0000FF"/>
        <rFont val="맑은 고딕"/>
        <family val="3"/>
        <charset val="129"/>
      </rPr>
      <t>(교환학생) 개별 문의
(강의정보) 개별 문의</t>
    </r>
    <phoneticPr fontId="8" type="noConversion"/>
  </si>
  <si>
    <t>1. 제한사항
(수강신청) Most of the undergraduate courses are instructed in Japanese. Students must possess sufficient Japanese-language ability.</t>
  </si>
  <si>
    <t>(대학) https://www.gunma-u.ac.jp/
(교환학생) https://www.guic.gunma-u.ac.jp/admission/exchange 
(강의정보) https://www.kyomu-sys.gunma-u.ac.jp/Portal/Public/Syllabus/SearchMain.aspx
(주거정보) https://www.guic.gunma-u.ac.jp/admission/apartment</t>
    <phoneticPr fontId="8" type="noConversion"/>
  </si>
  <si>
    <t>· Spring : Apr-July
· Fall : Sep-Dec</t>
    <phoneticPr fontId="8" type="noConversion"/>
  </si>
  <si>
    <r>
      <rPr>
        <b/>
        <sz val="10"/>
        <color rgb="FF000000"/>
        <rFont val="맑은 고딕"/>
        <family val="3"/>
        <charset val="129"/>
      </rPr>
      <t xml:space="preserve">o Study Abroad at NUFS Undergraduate and Graduate Schools
(세부정보) https://www-e.nufs.ac.jp/interchange/incoming/tokubetsu/
</t>
    </r>
    <r>
      <rPr>
        <sz val="10"/>
        <color rgb="FF000000"/>
        <rFont val="맑은 고딕"/>
        <family val="3"/>
        <charset val="129"/>
      </rPr>
      <t>* Program for students with higher Japanese proficiency, who wish to enroll in classes in Japanese with NUFS domestic students.</t>
    </r>
    <phoneticPr fontId="8" type="noConversion"/>
  </si>
  <si>
    <t>(대학) https://www-e.nufs.ac.jp/
(교환학생) https://www-e.nufs.ac.jp/interchange/incoming/
(주거정보) https://www-e.nufs.ac.jp/interchange/incoming/housing/</t>
    <phoneticPr fontId="8" type="noConversion"/>
  </si>
  <si>
    <t>· 1st : Apr-Jul
· 2nd : Sep-Jan</t>
  </si>
  <si>
    <t>Major should be matched but we are flexible. Please contact us before applying.
(파견대학 담당자: tsuruta@nakamura-u.ac.jp)</t>
    <phoneticPr fontId="8" type="noConversion"/>
  </si>
  <si>
    <t>(대학) https://www.nakamura-u.ac.jp/en/
(교환학생) 별도 안내 페이지 부재</t>
    <phoneticPr fontId="8" type="noConversion"/>
  </si>
  <si>
    <t>1. 제한사항
(수강제한)
Exchange students may not enroll in English language courses and some practical/laboratory courses. Most undergraduate courses are taught in Japanese. While it is possible to take courses in departments other than your own, since campuses vary by department and major, we recommend choosing a department or major that offers many of the courses you wish to take.</t>
    <phoneticPr fontId="8" type="noConversion"/>
  </si>
  <si>
    <t>(대학) https://www.kaiyodai.ac.jp/en/
(교환학생) https://www.kaiyodai.ac.jp/en/international/foreignstudents/
(주거정보) https://www.kaiyodai.ac.jp/en/campuslife/dormitory/</t>
    <phoneticPr fontId="8" type="noConversion"/>
  </si>
  <si>
    <t xml:space="preserve">1. 제한사항
(지원제한) Faculty of medicine doesn't offer any courses for exchange students
(가능전공) 아래 링크를 통해 지원 가능 전공 및 전공별 강의언어 확인
  ※ https://www.irdc.saga-u.ac.jp/en/foreignstudent/space/
</t>
    <phoneticPr fontId="8" type="noConversion"/>
  </si>
  <si>
    <t>(대학) https://www.saga-u.ac.jp/
(교환학생) https://www.irdc.saga-u.ac.jp/foreignstudent/space/
(강의정보) https://www.irdc.saga-u.ac.jp/foreignstudent/space/
(주거정보) https://www.irdc.saga-u.ac.jp/foreignstudent/dormitory/</t>
    <phoneticPr fontId="8" type="noConversion"/>
  </si>
  <si>
    <t>· Spring : Apr-Aug
· Fall : Sep-Feb</t>
  </si>
  <si>
    <r>
      <t xml:space="preserve">1. 특이사항
</t>
    </r>
    <r>
      <rPr>
        <sz val="10"/>
        <color rgb="FF0000FF"/>
        <rFont val="맑은 고딕"/>
        <family val="3"/>
        <charset val="129"/>
      </rPr>
      <t xml:space="preserve">(선발인원) 아래와 같이 </t>
    </r>
    <r>
      <rPr>
        <b/>
        <u/>
        <sz val="10"/>
        <color rgb="FF0000FF"/>
        <rFont val="맑은 고딕"/>
        <family val="3"/>
        <charset val="129"/>
      </rPr>
      <t>부산대 소속 단과대학별 TO 분리</t>
    </r>
    <r>
      <rPr>
        <sz val="10"/>
        <color rgb="FF0000FF"/>
        <rFont val="맑은 고딕"/>
        <family val="3"/>
        <charset val="129"/>
      </rPr>
      <t>하여 선발</t>
    </r>
    <r>
      <rPr>
        <sz val="10"/>
        <color rgb="FF000000"/>
        <rFont val="맑은 고딕"/>
        <family val="3"/>
        <charset val="129"/>
      </rPr>
      <t xml:space="preserve">
 A. 경제통상대학 및 경영대학 소속 학생(본/복수전공 기준) : 4명
 B. 타 단과대학 소속 학생 : 2명</t>
    </r>
    <phoneticPr fontId="8" type="noConversion"/>
  </si>
  <si>
    <t>(대학) https://www.saitama-u.ac.jp/
(교환학생) https://en.saitama-u.ac.jp/exchangeprograms/
(강의정보) http://en.saitama-u.ac.jp/exchangeprograms/courses/
(주거정보) https://en.saitama-u.ac.jp/exchangeprograms/housing/</t>
    <phoneticPr fontId="8" type="noConversion"/>
  </si>
  <si>
    <r>
      <t xml:space="preserve">1. 제한사항
(국적제한) 일본 국적자 지원 불가
(가능전공)
 A. (Undergraduate) We have seven faculties of Humanities and Social Sciences, Education, Informatics, Science, Engineering, Agriculture, and Global Interdisciplinary Science and Innovation.
  ※ (Undergraduate) There are very few general education courses offered in English, and these are not specialized courses. Credits earned from these English-taught courses may not be recognized by your home university.
 </t>
    </r>
    <r>
      <rPr>
        <sz val="10"/>
        <color rgb="FFFF0000"/>
        <rFont val="맑은 고딕"/>
        <family val="3"/>
        <charset val="129"/>
      </rPr>
      <t xml:space="preserve"> ※ Note: Shizuoka University will decide the faculty for successful applicant based on his/her major and study plan, Japanese proficiency and the capacity of faculties and so on. We don’t accept any request for the change of faculty or campus.</t>
    </r>
    <r>
      <rPr>
        <sz val="10"/>
        <color rgb="FF000000"/>
        <rFont val="맑은 고딕"/>
        <family val="3"/>
        <charset val="129"/>
      </rPr>
      <t xml:space="preserve">
 B. (Graduate/ Master Course) We have three Graduate Schools of Humanities and Social Sciences, Integrated Science and Technology, Mountain Watershed.
  ※ (Graduate/ Master Course) Some introductory courses will be offered in English. Some lectures in Agriculture, Science, Engineering, and Information Science are conducted in English, while all lectures in Humanities, Social Sciences, and Education are conducted in Japanese.
 C. There is no guarantee that exchange stundets will be placed in their preferred department.
(수강신청) Nearly all classes in the undergraduate program are taught in Japanese. </t>
    </r>
    <r>
      <rPr>
        <sz val="10"/>
        <color rgb="FFFF0000"/>
        <rFont val="맑은 고딕"/>
        <family val="3"/>
        <charset val="129"/>
      </rPr>
      <t>A high level of Japanese language skills is necessary to take undergraduate classes.</t>
    </r>
    <r>
      <rPr>
        <sz val="10"/>
        <color rgb="FF000000"/>
        <rFont val="맑은 고딕"/>
        <family val="3"/>
        <charset val="129"/>
      </rPr>
      <t xml:space="preserve">
D. Japanese Immigration Law requires students to take at least 10 hours of classes per week, meaning students have the requirement to take at least 7 classes per term</t>
    </r>
    <phoneticPr fontId="8" type="noConversion"/>
  </si>
  <si>
    <t>(대학) https://www.shizuoka.ac.jp/
(교환학생) https://www.suoic.shizuoka.ac.jp/english/international/exchange-student/
(강의정보) https://www.suoic.shizuoka.ac.jp/english/international/exchange-student/
(주거정보) https://www.suoic.shizuoka.ac.jp/english/international/dwelling/</t>
    <phoneticPr fontId="8" type="noConversion"/>
  </si>
  <si>
    <t>(대학) https://www.yamaguchi-pu.ac.jp/
(교환학생)https://www.yamaguchi-pu.ac.jp/en/
(세부사항) https://www.yamaguchi-pu.ac.jp/en/contents/202603050920/7f1b31df2bfa338171983a2c62ea573f7e8c7fff.pdf</t>
    <phoneticPr fontId="8" type="noConversion"/>
  </si>
  <si>
    <r>
      <t xml:space="preserve">1. 제한사항
</t>
    </r>
    <r>
      <rPr>
        <sz val="10"/>
        <color rgb="FF0000FF"/>
        <rFont val="맑은 고딕"/>
        <family val="3"/>
        <charset val="129"/>
      </rPr>
      <t>각 프로그램별(iExPo, OUSSEP) 지원자격 및 지원전공 확인 후 지원</t>
    </r>
    <phoneticPr fontId="8" type="noConversion"/>
  </si>
  <si>
    <t>1. 홈페이지
(대학) http://www.osaka-u.ac.jp/en
(교환학생) https://www.osaka-u.ac.jp/sp/whyou/uploads/faq-useful/UOsaka-ExchangePrograms.pdf
(강의정보) https://koan.osaka-u.ac.jp/syllabus_ex-e/campus
(영어강의) https://www.osaka-u.ac.jp/en/international/inbound/exchange_program/eng_course
(주거정보) https://globalvillage.icho.osaka-u.ac.jp/index.html (Off campus dormitory)</t>
    <phoneticPr fontId="8" type="noConversion"/>
  </si>
  <si>
    <r>
      <t xml:space="preserve">1. 제한사항
</t>
    </r>
    <r>
      <rPr>
        <b/>
        <sz val="10"/>
        <color rgb="FFFF0000"/>
        <rFont val="맑은 고딕"/>
        <family val="3"/>
        <charset val="129"/>
      </rPr>
      <t>(국적제한) 일본 국적자 지원 불가</t>
    </r>
    <r>
      <rPr>
        <sz val="10"/>
        <color rgb="FF000000"/>
        <rFont val="맑은 고딕"/>
        <family val="3"/>
        <charset val="129"/>
      </rPr>
      <t xml:space="preserve">
(가능전공)
 A. In principle, exchange students can only take “Japanese Language and Japanese Studies Courses” and “Global Studies Course.
 B. "General Education Courses" and "Specialization Courses" are available for students with JLPT N1 certifications(some exceptions may apply).
 C. *Please check the GAIA website (https://www.gaia.oita-u.ac.jp/en/academic/) for the details of the course offerings. The course offerings in 2026 will be updated in March (2027).</t>
    </r>
    <phoneticPr fontId="8" type="noConversion"/>
  </si>
  <si>
    <t>(대학) https://www.oita-u.ac.jp/lang/en/
(교환학생) https://www.gaia.oita-u.ac.jp/en/academic/tanki/iglobe/
(강의정보) https://www.gaia.oita-u.ac.jp/pdf/syllabus2025.pdf
(주거정보) https://www.gaia.oita-u.ac.jp/en/campus/juukyo/</t>
    <phoneticPr fontId="8" type="noConversion"/>
  </si>
  <si>
    <t>· Spring : Apr-July
· Fall : Sep-Feb</t>
    <phoneticPr fontId="8" type="noConversion"/>
  </si>
  <si>
    <t>1. Two Track 프로그램
There are two study tracks available within the CJP. Students can choose one of the following study tracks.
- Japanese Language Track(JLT), for students who wish to focus on their Japanese language studies  
- Modern Japan Track(MJT), for students who wish mainly to learn about Japan via English-taught courses through a variety of subjects
2. 정규 대학 수업
An extremely high level of Japanese language ability is required in order to take Regular University Courses taught in Japanese. Exchange students who meet one of the requirements below are eligible to register for Regular University Courses
- Submit proof of having passed the Japanese Language Proficiency Test (JLPT) N1 before the beginning of the semester.
- Receive a score of Level 8 in the Japanese Placement Test before the beginning of the semester.
 ※ Undergraduate students can only take courses offered at the undergraduate level. Graduate students can only take courses offered at the graduate level.</t>
    <phoneticPr fontId="8" type="noConversion"/>
  </si>
  <si>
    <t>(대학) https://www.kwansei.ac.jp/ko/
(교환학생) https://ciec.kwansei.ac.jp/study/exchange/
(강의정보) https://ciec.kwansei.ac.jp/study/exchange/outline/pdf/CJP%20Brochure%20(2026-2027)%20(PDF).pdf
(주거정보) https://ciec.kwansei.ac.jp/page/accommodation.html</t>
    <phoneticPr fontId="8" type="noConversion"/>
  </si>
  <si>
    <t>· 1st : Apr-Aug
· 2nd : Oct-Feb</t>
  </si>
  <si>
    <t>1.제한사항
(지원제한) Practical courses (e.g. Medicine, Pharmacy, Dental Sciences) are not open to exchange students.
(수강제한) Courses offered by Kyushu University Business School (QBS) are available only to exchange students officially enrolled in QBS. Undergraduate students are not permitted to enroll in graduate-level courses.
(영어강의) Undergraduate Programs conducted in English are below: 
- School of Engineering (Applied Chemistry/ Civil Engineering/ Electrical Engineering and Computer Science/ Mechanica Engineering)
- School of Agriculture (Bioresource and Bioenvironment)
- School of Interdisciplinary Science and Innovation
* [NOTE] Please be sure to check if there are enough English courses to take before application since there are no or very limited number of courses in some study field.</t>
    <phoneticPr fontId="8" type="noConversion"/>
  </si>
  <si>
    <t>(대학) https://www.kyushu-u.ac.jp/en/
(교환학생) https://www.isc.kyushu-u.ac.jp/intlweb/en/admission/exchangetop
(강의정보)
 - https://isc.kyushu-u.ac.jp/center/international/japaneselang/
 - https://www.isc.kyushu-u.ac.jp/intlweb/en/student/english</t>
    <phoneticPr fontId="8" type="noConversion"/>
  </si>
  <si>
    <t>1. 제한사항
(가능전공) School of Engineering/ School of Computer Science and Systems Engineering/ Graduate School of Life Science and Systems Engineering
(파견지역) Please inquire when students apply for since it depends on the campus.</t>
  </si>
  <si>
    <t>(대학) https://www.kyutech.ac.jp/english/
(교환학생 ) https://www.kyutech.ac.jp/english/international-exchange/
(강의정보)
 A. School of Engineering
  - https://edragon-syllabus.jimu.kyutech.ac.jp/guest/syllabuses
  - https://www.kyutech.ac.jp/english/academics/e/
  - https://www.tobata.kyutech.ac.jp/gr-school/gra-program/
 B. School of Computer Science and Systems Engineering
  - https://edragon-syllabus.jimu.kyutech.ac.jp/guest/syllabuses
 C. Graduate School of Life Science and Systems Engineering
  - https://www.lsse.kyutech.ac.jp/english/departments/
  - http://www.lsse.kyutech.ac.jp/english/education/curriculum.html
(주거정보) https://www.kyutech.ac.jp/english/campuslife/kih.html</t>
    <phoneticPr fontId="8" type="noConversion"/>
  </si>
  <si>
    <t>1. 제한사항
(수강제한) It is not possible to take specialized courses offered by the Faculty of Medicine. Most general education and undergraduate specialized courses are conducted in Japanese.
2. 특이사항
(일본어) There are no restrictions on Japanese language proficiency, but we prefer students who have at least a JLPT N4 level of Japanese proficiency.</t>
    <phoneticPr fontId="8" type="noConversion"/>
  </si>
  <si>
    <t>(대학) https://www.hirosaki-u.ac.jp/en/
(교환학생) https://www.kokusai.hirosaki-u.ac.jp/ko/studyabroad02/sa02_page1/
(강의정보) https://www.kokusai.hirosaki-u.ac.jp/wp-content/uploads/2026/05/%E5%86%8D%E7%B7%A8%E2%98%85%E2%98%85%E2%98%85%E4%BB%A4%E5%92%8C%EF%BC%98%E5%B9%B4%E5%BA%A6%E7%9F%AD%E6%9C%9F%E7%95%99%E5%AD%A6%E3%83%97%E3%83%AD%E3%82%B0%E3%83%A9%E3%83%A0%E6%8E%88%E6%A5%AD%E7%A7%91%E7%9B%AE%E3%82%B7%E3%83%A9%E3%83%90%E3%82%B9-1.pdf
  ※ 2026년 기준 자료이므로, 참고용으로만 사용할 것
(주거정보) https://www.hirosaki-u.ac.jp/campuslife/consultation/gakuryo/</t>
    <phoneticPr fontId="8" type="noConversion"/>
  </si>
  <si>
    <t>(해당없음)</t>
  </si>
  <si>
    <t>(대학) https://english.jiangnan.edu.cn/index.htm
(교환학생) https://english.jiangnan.edu.cn/ADMISSIONS/Student_Exchange_Programs.htm</t>
    <phoneticPr fontId="8" type="noConversion"/>
  </si>
  <si>
    <t>· 1st : Sep-Jan
· 2nd : Mar-Jul</t>
  </si>
  <si>
    <t>1. 특이사항
(영어강의) chemical engineering and technology, mechatronic engineering, telecommunications engineering, software engineering, civil engineering.</t>
    <phoneticPr fontId="8" type="noConversion"/>
  </si>
  <si>
    <t>(대학) cie.sdust.edu.cn
(교환학생) https://cie.sdust.edu.cn/International_Collaborative_Programs/Mobility_Study_Program.htm</t>
    <phoneticPr fontId="8" type="noConversion"/>
  </si>
  <si>
    <t>· Fall : Sep-Jan
· Spring : Feb-Jul</t>
  </si>
  <si>
    <t>1. 제한사항
(지원제한) 우측 (교환학생) 홈페이지를 참고, '모집전공'으로 안내된 전공에만 지원 가능</t>
  </si>
  <si>
    <t>(대학) https://ipo.wh.sdu.edu.cn/
(교환학생) https://ipo.wh.sdu.edu.cn/kristudy/lxxm1/jhsxm.htm</t>
    <phoneticPr fontId="8" type="noConversion"/>
  </si>
  <si>
    <t>· Fall : Sep-Jan
· Spring : Mar-Jul</t>
  </si>
  <si>
    <r>
      <t xml:space="preserve">1. 제한사항
(영어강의) Mechanical/ Chemical/ Telecommunications/ Civil Engineering
(강의언어) 전공별 강의 언어가 다르므로, 유의하여 지원
 A. 중국어 : diplomatic studies,  English Language, Translation &amp; Interpreting, </t>
    </r>
    <r>
      <rPr>
        <sz val="10"/>
        <color theme="1"/>
        <rFont val="맑은 고딕"/>
        <family val="3"/>
        <charset val="129"/>
      </rPr>
      <t>French, Japanese, Spanish, International</t>
    </r>
    <r>
      <rPr>
        <sz val="10"/>
        <color rgb="FF000000"/>
        <rFont val="맑은 고딕"/>
        <family val="3"/>
        <charset val="129"/>
      </rPr>
      <t xml:space="preserve"> Law, International Economics &amp; Trade, Finance, etc.
 B. 영어 Chinese language, international relations.
2. 특이사항
(기숙사) 프로그램별 배정 기숙사(캠퍼스)는 아래와 같음
 A. If enrolling in English-taught courses in senior year or International Relations or Chinese language courses, accommodation will be arranged at international exchange center at Zhanlanlu campus. 
 B. If enrolling in courses in fresh, sorphemore or junior year, mainly taught in Chinese, accommodation will be arranged at Reception center on Shahe Campus.</t>
    </r>
    <phoneticPr fontId="8" type="noConversion"/>
  </si>
  <si>
    <t>(대학) https://www.cfau.edu.cn/
(교환학생) https://eniss.cfau.edu.cn/col4230/index.htm
(강의정보) https://en.cfau.edu.cn/col2485/col2514/col2662/col2666/50432.htm</t>
    <phoneticPr fontId="8" type="noConversion"/>
  </si>
  <si>
    <r>
      <t xml:space="preserve">1. 제한사항
</t>
    </r>
    <r>
      <rPr>
        <b/>
        <sz val="10"/>
        <color rgb="FFFF0000"/>
        <rFont val="맑은 고딕"/>
        <family val="3"/>
        <charset val="129"/>
      </rPr>
      <t xml:space="preserve">(국적제한) 중국 국적자(시민권자) 지원 불가
</t>
    </r>
    <r>
      <rPr>
        <sz val="10"/>
        <color rgb="FF000000"/>
        <rFont val="맑은 고딕"/>
        <family val="3"/>
        <charset val="129"/>
      </rPr>
      <t>(수강가능 영어강의) Law School, Business School, School of Economics, School of International Studies, School of Journalism and Communication, School of Finance and School of Public Administration and Policy.
※ The Business School exclusively offers English-taught courses.
(수강제한) Law School restricts course enrollment to students with demonstrated legal education background. Course registration in the Business School is strictly bound by academic level: undergraduates are permitted to take undergraduate courses exclusively, and graduate students may only register for graduate courses.</t>
    </r>
    <phoneticPr fontId="8" type="noConversion"/>
  </si>
  <si>
    <t>(대학) https://www.ruc.edu.cn/
(교환학생) http://iso.ruc.edu.cn/
(영어 강의정보) http://iso.ruc.edu.cn/sqlx/ptjxs/index.htm
(중국어 강의정보) http://iso.ruc.edu.cn/sqlx/hyyjxs/index.htm
(주거정보) If the students expect to know more about the housing, please reach the Housing Office by email (LGIA@ruc.edu.cn) for more details.</t>
    <phoneticPr fontId="8" type="noConversion"/>
  </si>
  <si>
    <r>
      <t>1. 제한사항</t>
    </r>
    <r>
      <rPr>
        <b/>
        <sz val="10"/>
        <color rgb="FF0000FF"/>
        <rFont val="맑은 고딕"/>
        <family val="3"/>
        <charset val="129"/>
      </rPr>
      <t xml:space="preserve">
</t>
    </r>
    <r>
      <rPr>
        <sz val="10"/>
        <color rgb="FF000000"/>
        <rFont val="맑은 고딕"/>
        <family val="3"/>
        <charset val="129"/>
      </rPr>
      <t>(지원제한) department/major/courses regarding Economy and Management, which will not be offered to exchange students</t>
    </r>
    <phoneticPr fontId="8" type="noConversion"/>
  </si>
  <si>
    <t>(대학) https://lxs.ecnu.edu.cn/
(교환학생) https://lxs.ecnu.edu.cn/en_admission_exchange_programs_programs_introduction/list.htm
(강의정보) https://lxs.ecnu.edu.cn/en_admission_exchange_programs_programs_introduction/list.htm
(주거정보) https://lxs.ecnu.edu.cn/cn/accommodation/list.htm</t>
    <phoneticPr fontId="8" type="noConversion"/>
  </si>
  <si>
    <r>
      <t>1. 제한사항</t>
    </r>
    <r>
      <rPr>
        <sz val="10"/>
        <color rgb="FFFF0000"/>
        <rFont val="맑은 고딕"/>
        <family val="3"/>
        <charset val="129"/>
      </rPr>
      <t xml:space="preserve">
- (연속파견 제한) 파견대학 규정에 따라, 동일 학년도(Academic Year) 내에서만 재지원(=재선발=파견 연장) 가능
  ※  본교 기준 2학기에 최초 파견된 학생만 다음 학기(1학기)에 동일대학 재지원(파견 연장) 가능
- (수강제한) Exchange students are welcome to take any undergraduate courses from across the curriculum. However, some courses have pre-requisite requirements / major restrictions, prospective students are strongly advised to seek advice from academic advisers.</t>
    </r>
    <r>
      <rPr>
        <sz val="10"/>
        <color rgb="FF000000"/>
        <rFont val="맑은 고딕"/>
        <family val="3"/>
        <charset val="129"/>
      </rPr>
      <t xml:space="preserve">
2. 특이사항
(강의언어)
 A. Apart from language courses and courses in the Chinese (CHI-coded) and Translation (TRA-coded) Departments, all courses are taught in English except otherwise specified.
 B. The language of instruction of most of our courses are in English.</t>
    </r>
    <phoneticPr fontId="8" type="noConversion"/>
  </si>
  <si>
    <r>
      <t>(대학) https://www.ln.edu.hk/
(교환학생) https://www.ln.edu.hk/oge/incoming-students/inbound-useful-links-faq</t>
    </r>
    <r>
      <rPr>
        <sz val="10"/>
        <rFont val="맑은 고딕"/>
        <family val="3"/>
        <charset val="129"/>
      </rPr>
      <t xml:space="preserve">
(강의정보) https://www.ln.edu.hk/reg/undergraduate-programmes/course-registration (under Programme and Course Information).</t>
    </r>
    <phoneticPr fontId="8" type="noConversion"/>
  </si>
  <si>
    <t>· Winter(Fall) : Sep-Feb
· Summer(Spring) : Feb-Jun</t>
    <phoneticPr fontId="8" type="noConversion"/>
  </si>
  <si>
    <t>1. 제한사항
(지원불가) Medicine
(지원제한) Faculty of Fine Arts and Music : 부산대에서 해당 학문분야(미술, 음악)를 전공하고, 파견대학에서 교환학생의 수강을 허용하는 경우에만 지원 가능</t>
    <phoneticPr fontId="8" type="noConversion"/>
  </si>
  <si>
    <t>(대학) https://www.osu.eu/
(교환학생) https://www.osu.eu/non-erasmus-plus/
(영어강의) https://www.osu.eu/22821/courses/
(주거정보) https://www.osu.eu/accommodation/</t>
    <phoneticPr fontId="8" type="noConversion"/>
  </si>
  <si>
    <t>1. 제한사항
(수강제한) 본인 학위과정(학부, 대학원)에 해당하는 강의만 수강 가능
2. 특이사항
(영어강의) 파견대학 모든 강의는 100% 영어로 진행
(우대사항) 공항 픽업 서비스 제공</t>
  </si>
  <si>
    <t>(대학) https://www.kimep.kz/en
(교환학생) https://www.kimep.kz/diam/en/academic-mobility-for-incoming-students/
(강의정보) https://www.kimep.kz/en/,https://www.kimep.kz/prospective-students/kz/bachelor/
  ※ 페이지 상단 "Academics" 선택, 전공별 개설 강의 확인
(주거정보) https://www.kimep.kz/current-students/en/student-affairs/housing/</t>
    <phoneticPr fontId="8" type="noConversion"/>
  </si>
  <si>
    <t>· Fall : Sep-Dec
· Winter : Jan-Apr</t>
    <phoneticPr fontId="8" type="noConversion"/>
  </si>
  <si>
    <r>
      <t xml:space="preserve">(수강제한)Restricted programs: Nursing, Law, and most Social Work and Education courses. Master's and PhD level courses are limited.
</t>
    </r>
    <r>
      <rPr>
        <sz val="10"/>
        <color rgb="FFFF0000"/>
        <rFont val="맑은 고딕"/>
        <family val="3"/>
        <charset val="129"/>
      </rPr>
      <t>(연속파견 제한) 파견대학 규정에 따라, 동일 학년도(Academic Year) 내에서만 재지원(=재선발=파견 연장) 가능
※  본교 기준 2학기에 최초 파견된 학생만 다음 학기(1학기)에 동일대학 재지원(파견 연장) 가능</t>
    </r>
    <phoneticPr fontId="8" type="noConversion"/>
  </si>
  <si>
    <t>(대학) https://www.lakeheadu.ca/
(교환학생) https://www.lakeheadu.ca/international/globalme/inbound
(강의정보) https://www.lakeheadu.ca/timetable
(주거정보) https://www.lakeheadu.ca/students/student-life/residence</t>
    <phoneticPr fontId="8" type="noConversion"/>
  </si>
  <si>
    <t>· Fall : Aug-Dec
· Winter : Jan-Apr</t>
    <phoneticPr fontId="8" type="noConversion"/>
  </si>
  <si>
    <t>1. 제한사항
(지원제한) Faculties CLOSED to Exchange Students : Nursing/ Social Work/ Graduate level courses
(가능전공) Faculties OPEN to Exchange Students : Arts/ Business Administration/ Education/ Engineering &amp; Applied Science/ Kinesiology/ La Cité/ Media, Art, and Performance/ Science
2. 특이사항
(수강신청) Students’ transcripts and course requests are evaluated by the
Academic Advisors at the University of Regina to ensure that students have the academic background necessary for the classes that they select. Students will be instructed on how to create a visual schedule builder upon receiving their acceptance letter, and Faculty academic advisors will register students into classes.</t>
    <phoneticPr fontId="8" type="noConversion"/>
  </si>
  <si>
    <t>(대학) https://www.uregina.ca/
(교환학생) https://www.uregina.ca/ur-international/study-abroad/inbound-exchange.html
(강의정보) https://www.uregina.ca/registrar/academic-calendars-and-schedule/course-catalogue.html
(주거정보) https://www.uregina.ca/housing-services/payment-fees.html</t>
    <phoneticPr fontId="8" type="noConversion"/>
  </si>
  <si>
    <t>· Fall : Sep-Dec
· Winter : Jan-Apr</t>
  </si>
  <si>
    <t>1. 제한사항
(수강제한)
 A. Students are recommended to take courses only at Asper, and required to take a minimum of 2 courses at Asper.
 B. Exchange students can select most courses offered at Asper during their exchange semester, as long as the student meets pre requisite requirements and there is space available in the course. Some courses may require professor approval for enrolment.
 C. Students may take courses outside of the Asper School of Business, such as in Economics, Psychology or History, but approval is subject to these departments, and may be hard to access. We encourage students to take courses offered at Asper.</t>
    <phoneticPr fontId="8" type="noConversion"/>
  </si>
  <si>
    <t>(대학) https://umanitoba.ca/
(단과대학) https://umanitoba.ca/asper/
(교환학생) https://umanitoba.ca/asper/student-experience/asper-exchange-program#inbound-students-coming-to-asper
(강의정보) https://umanitoba.ca/asper/programs-of-
study/majors-and-required-courses
(주거정보) https://umanitoba.ca/housing</t>
    <phoneticPr fontId="8" type="noConversion"/>
  </si>
  <si>
    <t>1. 참고사항
* The language of instruction at Koç University is English. Exchange students can take courses from any discipline as long as they meet the prerequisites or the instructor of the course gives consent. For the course list, please visit: 
* Some courses at our Law and Nursing Faculties are given in Turkish</t>
    <phoneticPr fontId="8" type="noConversion"/>
  </si>
  <si>
    <t>(대학) https://www.mejiro.ac.jp/eng/
(교환학생) https://oip.ku.edu.tr/
(강의정보) https://oip.ku.edu.tr/exchange-programs/incoming/students/course-list-for-incoming-exchange-students/</t>
    <phoneticPr fontId="8" type="noConversion"/>
  </si>
  <si>
    <t>· 1st : Sep-Dec
· 2nd : Jan-Apr</t>
  </si>
  <si>
    <t>1. 제한사항
(수강제한) 각 과목별 수강자격 요건 충족 여부 확인(Prerequisites to attend courses are described in syllabi - students must take them into account)</t>
  </si>
  <si>
    <t>(대학) https://www.sggw.edu.pl/en/
(교환학생) https://wepoint.sggw.edu.pl/
(강의정보) https://sylabus.sggw.edu.pl/en/1/20/0/0/46/117
(주거정보) https://akademiki.sggw.edu.pl/?lang=en</t>
  </si>
  <si>
    <t>· Winter : Sep-Feb
· Summer : Feb-Jun</t>
  </si>
  <si>
    <t>(대학) https://uwr.edu.pl/en/
(교환학생) https://international.uni.wroc.pl/en/incoming-exchange-students/other-exchange-programmes
(강의정보) https://international.uni.wroc.pl/en/incoming-exchange-students/university-guidelines-all-exchange-students
(주거정보) https://uwr.edu.pl/en/student-houses/</t>
    <phoneticPr fontId="8" type="noConversion"/>
  </si>
  <si>
    <t>· Fall : Sep-Dec
· Spring : Jan-May</t>
  </si>
  <si>
    <r>
      <t xml:space="preserve">1. 제한사항
(수강제한) </t>
    </r>
    <r>
      <rPr>
        <sz val="10"/>
        <color rgb="FF0000FF"/>
        <rFont val="맑은 고딕"/>
        <family val="3"/>
        <charset val="129"/>
      </rPr>
      <t>수강가능 과목은 Sciences Po Saint-Germain 개설 과목으로 제한</t>
    </r>
    <r>
      <rPr>
        <sz val="10"/>
        <color rgb="FF000000"/>
        <rFont val="맑은 고딕"/>
        <family val="3"/>
        <charset val="129"/>
      </rPr>
      <t>되며 1,2학년 과목은 자유 수강 가능, 4학년 과목은 교환 기간 중 본교 기준 3학년 재학생에 한해 수강 가능
(가능전공) Political Science, International Relations, Law, Economics, Sociology and History.
※ Some lectures are specifically designed for international students. The main language of instruction is French, but there is a wide variety of courses also available in English in the main subjects.</t>
    </r>
    <phoneticPr fontId="8" type="noConversion"/>
  </si>
  <si>
    <t xml:space="preserve">
(교환학생) https://www.sciencespo-saintgermainenlaye.fr/en/
(단과대학) https://www.sciencespo-saintgermainenlaye.fr/
(강의정보) https://www.sciencespo-saintgermainenlaye.fr/en/courses/
(주거정보) Only off-campus accommodation : homestays with landlords in the area of Sciences Po Saint-Germain, student residences near the school and other private housing options.</t>
    <phoneticPr fontId="8" type="noConversion"/>
  </si>
  <si>
    <t>1. 특이사항
(영어강의) 캠퍼스(보르도, 마르세유) 및 학기별로 영어 강의가 진행되는 프로그램이 다르므로, 반드시 파견대학 홈페이지에서 확인 후 지원</t>
  </si>
  <si>
    <t>(대학) https://student.kedge.edu/
(교환학생) https://student.kedge.edu/exchange-students
(강의정보) https://student.kedge.edu/exchange-students</t>
  </si>
  <si>
    <t>(참고사항)
We only offer one program - equivalent to B3 but we accept students from B2 or M1. Students assigned to this program have to follow the entire curriculum.</t>
    <phoneticPr fontId="8" type="noConversion"/>
  </si>
  <si>
    <r>
      <t xml:space="preserve">1. 제한사항
(수강제한) 파견대학 사정에 따라 매 학기 </t>
    </r>
    <r>
      <rPr>
        <u/>
        <sz val="10"/>
        <color rgb="FF000000"/>
        <rFont val="맑은 고딕"/>
        <family val="3"/>
        <charset val="129"/>
      </rPr>
      <t>일부 전공 소속 및 강의 수강을 제한하고 있으므로</t>
    </r>
    <r>
      <rPr>
        <sz val="10"/>
        <color rgb="FF000000"/>
        <rFont val="맑은 고딕"/>
        <family val="3"/>
        <charset val="129"/>
      </rPr>
      <t>, 반드시 파견대학 홈페이지에서 확인 후 지원
2. 특이사항
(영어강의) 미제공
  ※ 해당 대학은 모든 과목을 '프랑스어'로 강의함에 유의</t>
    </r>
  </si>
  <si>
    <t>(대학) http://www.inalco.fr/en/
(교환학생) https://www.inalco.fr/en/exchange-students-inalco
(강의정보) https://catalogue.inalco.fr/en/catalogue
(주거정보) Inalco works with external residences (CIUP/CROUS/ALJT), located within the Paris city limits, to provide exchange students with student housing. 
Prices range from €500 to €800 (approximately), or about half of the average price of housing on the private market. However, please note that housing cannot be guaranteed, especially for the Fall semester. Students wishing to apply for one of these residences must include this information in their online application form.</t>
    <phoneticPr fontId="8" type="noConversion"/>
  </si>
  <si>
    <t>1. 제한사항
(수강제한) please pay attention to the level and pre-requisites required for each course: indicated in the course catalogue; pre-requisites featured in the course descriptions.
(수강신청) Bear in mind that course selection is on a first come, first served basis.
2. 특이사항
캠퍼스(Reims/Rouen)에 따라 개설 과목이 다르므로, 각 캠퍼스에서 개설되는 과목만 수강할 수 있음.</t>
    <phoneticPr fontId="8" type="noConversion"/>
  </si>
  <si>
    <t>(교환학생) https://neoma-bs.com/welcome-to-neoma/steps
(강의정보) https://neoma-bs.com/welcome-to-neoma/steps/step-4-courses
(주거정보) https://neoma-bs.com/welcome-to-neoma/steps/step-3-housing</t>
    <phoneticPr fontId="8" type="noConversion"/>
  </si>
  <si>
    <t>· 1st : Sep-Dec
· 2nd : Jan-May</t>
    <phoneticPr fontId="8" type="noConversion"/>
  </si>
  <si>
    <r>
      <t xml:space="preserve">1. 제한사항
(수강신청) Please note that it is recommended for exchange students to take classes from one department only to avoid timetable clashes.
(수강제한) </t>
    </r>
    <r>
      <rPr>
        <b/>
        <sz val="10"/>
        <color rgb="FF000000"/>
        <rFont val="맑은 고딕"/>
        <family val="3"/>
        <charset val="129"/>
      </rPr>
      <t>Please note that most classes are taught in French.</t>
    </r>
    <phoneticPr fontId="8" type="noConversion"/>
  </si>
  <si>
    <t xml:space="preserve">
(대학) https://www.univ-larochelle.fr/
(교환학생) https://www.univ-larochelle.fr/international/venir-etudier-luniversite/etudier-programme-dechange/deposer-sa-candidature/
(강의정보) https://www.univ-larochelle.fr/international/venir-etudier-luniversite/etudier-programme-dechange/choisir-ses-cours/
(주거정보) on campus/ single rooms or single studio are available (both with private bathroom)</t>
    <phoneticPr fontId="8" type="noConversion"/>
  </si>
  <si>
    <r>
      <t xml:space="preserve">1. 제한사항
(영어강의) A limited number of courses of courses are taught in English in Management, Economics, Law, English Studies, Renewable Energy in Civil Engineering
</t>
    </r>
    <r>
      <rPr>
        <sz val="10"/>
        <color rgb="FFFF0000"/>
        <rFont val="맑은 고딕"/>
        <family val="3"/>
        <charset val="129"/>
      </rPr>
      <t>(학기제한) French Humanities는 Fall, Art Culture Heritage는 Spring에만 개설되는 프로그램임에 유의하여 지원</t>
    </r>
    <phoneticPr fontId="8" type="noConversion"/>
  </si>
  <si>
    <t>(대학) https://www.univ-lehavre.fr/en/
(교환학생) https://www.univ-lehavre.fr/fr/vie-de-campus/
(강의정보) https://www.univ-lehavre.fr/en/course-of-study/academic-program/
(주거정보) According to availibilities, the International Office propose accommodation for exchange students in halls of residence managed by the CROUS. The rent is between 350 and 400 euros per month (electricity and water charges are included).</t>
    <phoneticPr fontId="8" type="noConversion"/>
  </si>
  <si>
    <t>· Fall : Sep-Jan
· Spring : Jan-Jun</t>
    <phoneticPr fontId="8" type="noConversion"/>
  </si>
  <si>
    <t>1. 제한사항
Major matching in the host and home institution is mandatory.
2. 특이사항
(프랑스강의) 보통 DELF B2이상 요구
 A.인문·사회계열(철학, 역사, 문학, 언어학, 사회과학 등) 전공의 경우 DELF C1 충족해야 함
B. 이공계(수학, 물리, 화학, 생명, 지구과학, 컴퓨터 등)는 DELF B2 가능</t>
    <phoneticPr fontId="8" type="noConversion"/>
  </si>
  <si>
    <t>(대학) https://www.ens-lyon.fr/en/
(교환학생) https://www.ens-lyon.fr/en/studies/admissions/application-student-exchange-program
(강의정보) https://www.ens-lyon.fr/formation/catalogue-de-cours/cours-pour-les-etudiants-en-echange
(주거정보) https://www.ens-lyon.fr/en/campus-life/accommodation/bonnamour-residence</t>
    <phoneticPr fontId="8" type="noConversion"/>
  </si>
  <si>
    <t>1. 제한사항
(지원불가) Medicine/ Engineering school
※ 대부분 강의 프랑스어로 진행</t>
    <phoneticPr fontId="8" type="noConversion"/>
  </si>
  <si>
    <t>(대학) https://www.umlp.fr/
(교환학생) https://www.umlp.fr/venir-etudier-luniversite-marie-et-louis-pasteur
(주거정보) https://www.crous-bfc.fr/</t>
    <phoneticPr fontId="8" type="noConversion"/>
  </si>
  <si>
    <r>
      <t xml:space="preserve">1. 제한사항
(수강제한) 정규 학위과정 소속의 경우, 수강 과목의 50% 이상을 전공/소속 과정에서 선택, 수강
(유의사항) DEFLE 어학과정 소속 여부는 파견 대학에서 최종 결정
2. 특이사항
(선발기준) 전체 총점 순으로 선발하되, </t>
    </r>
    <r>
      <rPr>
        <sz val="10"/>
        <color rgb="FFFF0000"/>
        <rFont val="맑은 고딕"/>
        <family val="3"/>
        <charset val="129"/>
      </rPr>
      <t>어학과정은 학기별 최대 1명 선발</t>
    </r>
    <phoneticPr fontId="8" type="noConversion"/>
  </si>
  <si>
    <t>(대학) https://www.u-bordeaux-montaigne.fr/en/
(교환학생) https://www.u-bordeaux-montaigne.fr/en/study/application/exchange-program.html
(강의정보) https://www.u-bordeaux-montaigne.fr/en/study/application/exchange-program/organize-your-stay/choose-your-courses.html
(주거정보) CROUS accommodations near campus (student residences) or private accommodations</t>
    <phoneticPr fontId="8" type="noConversion"/>
  </si>
  <si>
    <t>· 1st : Sep-Jan
· 2nd : Jan-Jun</t>
  </si>
  <si>
    <r>
      <t xml:space="preserve">1. 제한사항
(수강제한) Health and Education majors are not available for exchange students.
2. 특이사항
</t>
    </r>
    <r>
      <rPr>
        <sz val="10"/>
        <color rgb="FF0000FF"/>
        <rFont val="맑은 고딕"/>
        <family val="3"/>
        <charset val="129"/>
      </rPr>
      <t>- (교명변경) 버건디(부르고뉴)대학, ENSAD Dijon, ESM 3개 고등교육기관이 2025년에 통합하여 출범한 대학</t>
    </r>
  </si>
  <si>
    <t xml:space="preserve">(대학) http://en.u-bourgogne.fr/
(단과대학) https://iae.u-bourgogne.fr/en/home/
(교환학생) https://www.ube.fr/en/international-forthem/international-students/come-and-study-on-an-exchange-program/
(강의정보) https://iae.u-bourgogne.fr/en/discover-our-courses/
(주거정보) On-campus residences : application form to the International Office </t>
    <phoneticPr fontId="8" type="noConversion"/>
  </si>
  <si>
    <t>· Autumn : Aug-Dec
· Spring : Jan-Jul</t>
  </si>
  <si>
    <t>1. 제한사항
(수강신청) Most of the classes are opened to exchange students. There exceptions but the list would be too long to write it here. Nominated students will receive the detailed list.
(수강제한) Most of the classes are taught in French.</t>
    <phoneticPr fontId="8" type="noConversion"/>
  </si>
  <si>
    <t>(대학) https://univ-avignon.fr/en/
(교환학생) https://univ-avignon.fr/international/etudiants-etrangers/etudiants-en-echange-incoming-exchange-students/
(강의정보) https://formations.univ-avignon.fr/english-friendly/</t>
    <phoneticPr fontId="8" type="noConversion"/>
  </si>
  <si>
    <r>
      <t xml:space="preserve">1. 제한사항
(가능전공) Foreign languages/ Humanities/ Business
</t>
    </r>
    <r>
      <rPr>
        <sz val="10"/>
        <color rgb="FFFF0000"/>
        <rFont val="맑은 고딕"/>
        <family val="3"/>
        <charset val="129"/>
      </rPr>
      <t xml:space="preserve">(연속파견 제한) 파견대학 규정에 따라, 동일 학년도(Academic Year) 내에서만 재지원(=재선발=파견 연장) 가능
  ※  </t>
    </r>
    <r>
      <rPr>
        <u/>
        <sz val="10"/>
        <color rgb="FFFF0000"/>
        <rFont val="맑은 고딕"/>
        <family val="3"/>
        <charset val="129"/>
      </rPr>
      <t>본교 기준 2학기</t>
    </r>
    <r>
      <rPr>
        <sz val="10"/>
        <color rgb="FFFF0000"/>
        <rFont val="맑은 고딕"/>
        <family val="3"/>
        <charset val="129"/>
      </rPr>
      <t>에 최초 파견된 학생만 다음 학기(1학기)에 동일대학 재지원(파견 연장) 가능</t>
    </r>
    <phoneticPr fontId="8" type="noConversion"/>
  </si>
  <si>
    <t>(대학) https://www.univ-angers.fr/en/
(교환학생) https://www.univ-angers.fr/en/you-are/exchange-student.html
(강의정보) https://www.univ-angers.fr/en/education/course-offer.html
(주거정보) https://www.univ-angers.fr/en/you-are/exchange-student/essential-mobility-formalities.html</t>
  </si>
  <si>
    <t>· Winter : Sep-Dec
· Summer : Jan-Jun</t>
  </si>
  <si>
    <r>
      <t xml:space="preserve">1. 제한사항
- (지원제한) 아래 전공/학과는 별도 요건을 충족하는 경우에 지원 가능
  A. Economics and Management Sector : 경제학부 2학년 이상
  B. Business and Management Sector : 경영학과 4학년 또는 석사 과정
  C. Science and Technology Sector : 관련 전공 4학년 또는 석사 과정
- (수강제한) Student can only take courses in one faculty at amU. 
</t>
    </r>
    <r>
      <rPr>
        <b/>
        <sz val="10"/>
        <rFont val="맑은 고딕"/>
        <family val="3"/>
        <charset val="129"/>
      </rPr>
      <t>- 엑스마르세유대학 Faculty of Arts and Letters: 영어강의 미제공될 수 있음</t>
    </r>
    <r>
      <rPr>
        <sz val="10"/>
        <rFont val="맑은 고딕"/>
        <family val="3"/>
        <charset val="129"/>
      </rPr>
      <t xml:space="preserve">
- (유의사항) 대학부설프랑스어학당(SUL, French Language Center) 풀타임 소속 가능 여부 및 별도 등록금 납부 여부는 학기별로 상이하며, 선발 단계에서는 확정 불가
  ※ 어학과정(풀타임) 소속으로 진행할 경우, 일반 대학강의 수강 불가
  ※ 어학과정 TO 제한 시, 총점 순으로 지원 우선순위 부여</t>
    </r>
    <phoneticPr fontId="8" type="noConversion"/>
  </si>
  <si>
    <t>(대학) https://www.univ-amu.fr/en/
(교환학생) https://www.univ-amu.fr/fr/etudiants-internationaux/etudiants-internationaux-echange
(강의정보) https://www.univ-amu.fr/en/public/courses-taught-english</t>
    <phoneticPr fontId="8" type="noConversion"/>
  </si>
  <si>
    <t>1. 제한사항
(어학과정) 파견대학 기준 2학기(2nd) 지원 학생은 최소 A1 이상의 프랑스어 실력을 갖추어야 함
  ※ 파견대학 기준 1학기(1st) 지원 학생은 관계 없음</t>
    <phoneticPr fontId="8" type="noConversion"/>
  </si>
  <si>
    <t>(대학) https://international.univ-tlse2.fr/home
(교환학생) https://international.univ-tlse2.fr/home/academics/student-exchange-program-erasmus-bilateral-agreement
(강의정보) https://international.univ-tlse2.fr/accueil/formation/courses-taught-english-ut2j</t>
    <phoneticPr fontId="8" type="noConversion"/>
  </si>
  <si>
    <t>· Fall : Sep-.Jan
· Spring : Jan-May</t>
    <phoneticPr fontId="8" type="noConversion"/>
  </si>
  <si>
    <r>
      <t xml:space="preserve">1. 제한사항
(수강제한)
 A. Students cannot take courses from other Faculty/Campus
※ Incoming students enrolled in a school at the "Grands Moulins" campus can take courses from other schools of the same campus. Incoming students enrolled in a school from the "Odeon" campus can only take courses in the school they are nominated in.
 B. Students must have a language proficiency for the courses they wish to enrol in and will need a certificate to prove it, except for native speakers
 C. if a student wishes to only enrol in courses taught in English, the student will only need to provide a certificate of English language proficiency. If a student wishes to enrol in both English and French taught
courses, the student will have to provide English AND French language certificates.
 D. The academic contact holds the right to accept or refuse the enrolment of any student based on their language proficiency.
2. 특이사항
</t>
    </r>
    <r>
      <rPr>
        <sz val="10"/>
        <color rgb="FF0000FF"/>
        <rFont val="맑은 고딕"/>
        <family val="3"/>
        <charset val="129"/>
      </rPr>
      <t>- (교명변경) 舊. 파리5대학(데카르트대학)과 파리7대학(디드호대학)이 2019년에 통합하여 출범한 대학</t>
    </r>
    <phoneticPr fontId="8" type="noConversion"/>
  </si>
  <si>
    <t>(대학) https://u-paris.fr/en/
(교환학생) https://u-paris.fr/societes-humanites/en/incoming-international-students/
(강의정보) https://u-paris.fr/societes-humanites/en/incoming-international-students/</t>
    <phoneticPr fontId="8" type="noConversion"/>
  </si>
  <si>
    <t xml:space="preserve">1. 제한사항
(가능전공) Social Sciences/ Political Science/ International Relations/ History/ Economics/ French as Foreign Language/ Literature
(수강제한) You may choose modules from one faculty
(영어강의) The ICP offers courses in English open to exchange students within its Faculty of Liberal Arts and its Faculty of Social Sciences, Economics and Law.
2. 특이사항
(어학수업) The University’s French language center, the “Institut de Langue et Culture Françaises” (ILCF) – Institute of French Language and Culture – offers French as Foreign Language classes (FLE) free of charge for exchange students during the semester: 20 hours, delivering 4 ECTS. </t>
    <phoneticPr fontId="8" type="noConversion"/>
  </si>
  <si>
    <t>(대학) https://en.icp.fr/
(교환학생) https://en.icp.fr/programs/exchange-mobility-1
(강의정보) https://en.icp.fr/programs/exchange-mobility/english-taught-courses
(주거정보) https://en.icp.fr/campus-life/housing</t>
    <phoneticPr fontId="8" type="noConversion"/>
  </si>
  <si>
    <t>(수강제한)
학부 과정 과목과 대학원 과정 과목의 혼합 수강은 불가</t>
    <phoneticPr fontId="8" type="noConversion"/>
  </si>
  <si>
    <t>(대학) https://www.esme.fr/en/
(교환학생) https://www.esme.fr/en/information-engineering-school/top-five-reasons-to-join-esme/
(강의정보) https://www.esme.fr/en/undergraduate-international-program/</t>
    <phoneticPr fontId="8" type="noConversion"/>
  </si>
  <si>
    <t>1. 제한사항
(수강제한)
 A. Exchange students can choose courses from the curriculum of their host department and/or from the international study programmes arranged at the University of Jyväskylä.
 B. Some courses may be open to all exchange students. The openness
is indicated in the course description by ‘ALL’ or a similar marking.
 C. Some courses may be targeted at students of a particular department or faculty only.
 D. Courses may have prerequisites which participants must fulfil.</t>
    <phoneticPr fontId="8" type="noConversion"/>
  </si>
  <si>
    <t>(대학) https://www.jyu.fi/en/
(교환학생) https://www.jyu.fi/en/study-with-us/student-exchange-at-jyu 
(강의정보) https://www.jyu.fi/en/for-students/courses-for-exchange-students
(학교생활) https://www.jyu.fi/en/for-students/instructions-for-bachelors-and-masters-students/new-student-handbook
(주거정보) https://www.jyu.fi/en/for-students/instructions-for-bachelors-and-masters-students/day-to-day-life-and-free-time/student-housing#toc-exchange-students-how-to-apply-for-furnished-student-housing-within-the-jyu-quota</t>
    <phoneticPr fontId="8" type="noConversion"/>
  </si>
  <si>
    <t>· Autumn : Aug-Dec
· Spring : Jan-May</t>
  </si>
  <si>
    <t>2. 특이사항
(제한사항)
- (전공제한) Business, Medicine, Dentistry, Law, Education 전공 소속/수강은 부산대 해당 분야 본/복수전공자만 가능</t>
    <phoneticPr fontId="8" type="noConversion"/>
  </si>
  <si>
    <t>(대학) https://www.utu.fi/en
(교환학생) https://www.utu.fi/en/study-at-utu/exchange-studies
(강의정보) https://www.utu.fi/en/study-at-utu/courses-in-english-for-exchange-students
(주거정보) https://www.utu.fi/en/study-at-utu/accepted-exchange-students/housing</t>
    <phoneticPr fontId="8" type="noConversion"/>
  </si>
  <si>
    <r>
      <t xml:space="preserve">1. 제한사항
(가능전공) Students should have studies at least 1 year in Business/Economic sciences as Hanken only offers courses in Business/Management/Economics sciences.
</t>
    </r>
    <r>
      <rPr>
        <sz val="10"/>
        <color rgb="FFFF0000"/>
        <rFont val="맑은 고딕"/>
        <family val="3"/>
        <charset val="129"/>
      </rPr>
      <t>(연속파견 제한) 파견대학 규정에 따라, 동일 학년도(Academic Year) 내에서만 재지원(=재선발=파견 연장) 가능
※  본교 기준 2학기에 최초 파견된 학생만 다음 학기(1학기)에 동일대학 재지원(파견 연장) 가능</t>
    </r>
    <phoneticPr fontId="8" type="noConversion"/>
  </si>
  <si>
    <t>(대학) https://www.hanken.fi/en/
(교환학생) https://www.hanken.fi/en/students/international-opportunities/incoming-exchange-students
(강의정보) hanken.fi/en/apply/international-opportunities/
incoming-exchange-students/studies
(주거정보) https://hoas.fi/en/applicants/exchange-students/</t>
    <phoneticPr fontId="8" type="noConversion"/>
  </si>
  <si>
    <t>· 1st : Feb-Jun
· 2nd : Jul-Nov</t>
  </si>
  <si>
    <t>1. 제한사항
(수강제한) 
- no retrictions; Students are able to take courses from across different disciplines. Please note health courses may be restricted for study abroad
and exchange students.
- Restricted Courses - Many courses in the handbook will have ‘EP’ in front of the course code, e.g. EPHUMA1000. These courses are not available to Exchange or Study Abroad students.
- some courses have pre requisites that a student must meet if they want to take.</t>
    <phoneticPr fontId="8" type="noConversion"/>
  </si>
  <si>
    <t>(대학) https://www.newcastle.edu.au/
(교환학생) https://www.newcastle.edu.au/study/international/study-with-us/study-abroad-and-exchange
(강의정보) https://www.newcastle.edu.au/course
(주거정보) https://www.newcastle.edu.au/campus-life/accommodation</t>
    <phoneticPr fontId="8" type="noConversion"/>
  </si>
  <si>
    <t>· Autumn : Sep-Dec
· Spring : Jan-Apr</t>
  </si>
  <si>
    <r>
      <t xml:space="preserve">1. 제한사항
(어학기준) 아래 링크를 참고하여, 본인이 지원하는 전공 또는 수강하고자 하는 수업별로 </t>
    </r>
    <r>
      <rPr>
        <sz val="10"/>
        <color rgb="FFFF0000"/>
        <rFont val="맑은 고딕"/>
        <family val="3"/>
        <charset val="129"/>
      </rPr>
      <t>requirements에 명시된 어학요건 충족여부 확인</t>
    </r>
    <r>
      <rPr>
        <sz val="10"/>
        <color rgb="FF000000"/>
        <rFont val="맑은 고딕"/>
        <family val="3"/>
        <charset val="129"/>
      </rPr>
      <t xml:space="preserve">
  ※ (링크) https://www.uts.edu.au/study/international/essential-information/english-language-requirements</t>
    </r>
    <phoneticPr fontId="8" type="noConversion"/>
  </si>
  <si>
    <t>(대학) https://www.uts.edu.au/
(교환학생) https://www.uts.edu.au/study/international
(강의정보) https://www.uts.edu.au/study/international/study-abroad-and-exchange-uts/subjects-and-academic-information
(주거정보) https://www.uts.edu.au/for-students/current-students/support/uts-housing-service/apply-uts-housing</t>
    <phoneticPr fontId="8" type="noConversion"/>
  </si>
  <si>
    <t>(제한사항) Medicine and Dentistry not available.
(수강제한) Some courses may require you to have completed certain pre-requisite courses. These pre-requisites will be assessed at the point of application.
(참고사항) As an international student, it is an Australian visa requirement that you study ‘full-time’ (meaning a minimum of 18units per semester). A 100% study load is 24units per semester (generally four courses). In other words, students must enrol into:
• a maximum of 24 units (usually four courses), or
• a minimum of 18 units (usually three courses).</t>
    <phoneticPr fontId="8" type="noConversion"/>
  </si>
  <si>
    <t>1. SAF 홈페이지 : http://korea.studyabroadfoundation.org/
* SAF를 통해서 지원기간 및 자격 기준 반드시 확인 필요
2. 미국 대학 : American University, Arizona State University, California State University, Columbia University, 
University of California 등 
3. 영국 대학 : University College London, University of Glasgow, University of Westminster, University of Manchester, University of the Arts London, Universitiy of Bristol, University of Edinburgh
그 외 기타 SAF 회원국 모두 가능</t>
  </si>
  <si>
    <t>SAF 홈페이지 : http://korea.studyabroadfoundation.org/</t>
  </si>
  <si>
    <t>· Autumn : Sep-Jan
· Spring : Feb-June</t>
  </si>
  <si>
    <r>
      <t xml:space="preserve">1. 특이사항
(제한사항) </t>
    </r>
    <r>
      <rPr>
        <b/>
        <sz val="10"/>
        <color rgb="FF000000"/>
        <rFont val="맑은 고딕"/>
        <family val="3"/>
        <charset val="129"/>
      </rPr>
      <t>학부생은 학부전공수업 또는 중국어 언어수업 중 택 1</t>
    </r>
    <r>
      <rPr>
        <sz val="10"/>
        <color rgb="FF000000"/>
        <rFont val="맑은 고딕"/>
        <family val="3"/>
        <charset val="129"/>
      </rPr>
      <t xml:space="preserve">, </t>
    </r>
    <r>
      <rPr>
        <b/>
        <sz val="10"/>
        <color rgb="FF000000"/>
        <rFont val="맑은 고딕"/>
        <family val="3"/>
        <charset val="129"/>
      </rPr>
      <t>대학원생</t>
    </r>
    <r>
      <rPr>
        <sz val="10"/>
        <color rgb="FF000000"/>
        <rFont val="맑은 고딕"/>
        <family val="3"/>
        <charset val="129"/>
      </rPr>
      <t xml:space="preserve">은 중국어 언어수업만 이수 가능, 인문대학 중 언어전공(중국어 제외)일 경우 학부전공수업 이수 불가, </t>
    </r>
    <r>
      <rPr>
        <b/>
        <sz val="10"/>
        <color rgb="FF000000"/>
        <rFont val="맑은 고딕"/>
        <family val="3"/>
        <charset val="129"/>
      </rPr>
      <t>중국어 언어수업만 이수 가능</t>
    </r>
    <r>
      <rPr>
        <sz val="10"/>
        <color rgb="FF000000"/>
        <rFont val="맑은 고딕"/>
        <family val="3"/>
        <charset val="129"/>
      </rPr>
      <t xml:space="preserve">
(비용) 신청수수료-400RMB, 등록금-(중국어연수)18,000RMB/학기,(전공과정)24,000RMB/학기, 교재비-300RMB/학기, 의료보험 별도</t>
    </r>
  </si>
  <si>
    <t>(대학 영문) https://www.isd.pku.edu.cn/cn/
https://isd.pku.edu.cn/en/further_detail.php?tag=general_visiting_program
(학부 수강정보) http://www.dean.pku.edu.cn/service/web/courseSearch.php
(중국어연수 강의정보) For details, please visit School of Chinese as Second Language at http://hy.pku.edu.cn.
(주거정보) https://pkugv.pku.edu.cn/</t>
  </si>
  <si>
    <t>난양기술대학</t>
    <phoneticPr fontId="4" type="noConversion"/>
  </si>
  <si>
    <t>1. 전공기준 : 제한 없음
2. 성적기준 : 평점평균 4.5 만점 기준 3.3 이상
3. 어학기준 :
(중국어 어학과정) 중국어 학습 희망자</t>
    <phoneticPr fontId="4" type="noConversion"/>
  </si>
  <si>
    <t>34개국</t>
    <phoneticPr fontId="4" type="noConversion"/>
  </si>
  <si>
    <t>르아브르노르망디대학</t>
    <phoneticPr fontId="4" type="noConversion"/>
  </si>
  <si>
    <r>
      <rPr>
        <sz val="10"/>
        <color rgb="FF000000"/>
        <rFont val="맑은 고딕"/>
        <family val="3"/>
        <charset val="129"/>
      </rPr>
      <t>1. 전공기준 : 전공매칭 필수 - 파견대학 특정 전공에만 지원 및 소속 가능하며, 지원 분야 관련 학문적 배경(본/복수/부전공) 필요</t>
    </r>
    <r>
      <rPr>
        <sz val="10"/>
        <color rgb="FFFF0000"/>
        <rFont val="맑은 고딕"/>
        <family val="3"/>
        <charset val="129"/>
      </rPr>
      <t xml:space="preserve">
  ※ The department would review the applications and the supporting documents; each department reserves the right to reject or re-allocate applicants to appropriate departments.
</t>
    </r>
    <r>
      <rPr>
        <sz val="10"/>
        <color rgb="FF000000"/>
        <rFont val="맑은 고딕"/>
        <family val="3"/>
        <charset val="129"/>
      </rPr>
      <t xml:space="preserve">2. 성적기준 : 지원 전공별 기준을 충족하는 성적
3. 어학기준 : 지원 전공별 기준을 충족하는 어학시험 성적
</t>
    </r>
    <r>
      <rPr>
        <sz val="10"/>
        <color rgb="FF0000FF"/>
        <rFont val="맑은 고딕"/>
        <family val="3"/>
        <charset val="129"/>
      </rPr>
      <t xml:space="preserve">  ★ 세부사항 내 (지원기준)의 안내 링크를 통해 학위과정 및 전공별 세부 지원 기준을 반드시 확인할 것</t>
    </r>
    <phoneticPr fontId="4" type="noConversion"/>
  </si>
  <si>
    <r>
      <t>1. 전공기준 : 전공매칭 필수 - 파견대학 소속 희망 단과대학(전공) 관련 학문적 배경(본/복수전공) 필요
2. 성적기준 : 평점평균 4.5 기준 3.5 이상
3. 어학기준 :
(영어) IELTS 6.5 (각 영역 5.5),</t>
    </r>
    <r>
      <rPr>
        <sz val="10"/>
        <color rgb="FF0000FF"/>
        <rFont val="맑은 고딕"/>
        <family val="3"/>
        <charset val="129"/>
      </rPr>
      <t xml:space="preserve"> TOEFL iBT 80(S 20, R 18, L 17, W 18)
  ※ '26.01.21. 이후 TOEFL iBT 5(각 영역 4.0)</t>
    </r>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</si>
</sst>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5" x14ac:knownFonts="1">
    <font>
      <sz val="11"/>
      <color rgb="FF000000"/>
      <name val="맑은 고딕"/>
      <family val="3"/>
      <charset val="129"/>
    </font>
    <font>
      <sz val="11"/>
      <color theme="1"/>
      <name val="맑은 고딕"/>
      <family val="2"/>
      <charset val="129"/>
      <scheme val="minor"/>
    </font>
    <font>
      <sz val="11"/>
      <color rgb="FF000000"/>
      <name val="맑은 고딕"/>
      <family val="3"/>
      <charset val="129"/>
    </font>
    <font>
      <sz val="10"/>
      <color rgb="FF000000"/>
      <name val="맑은 고딕"/>
      <family val="3"/>
      <charset val="129"/>
    </font>
    <font>
      <sz val="8"/>
      <name val="맑은 고딕"/>
      <family val="3"/>
      <charset val="129"/>
    </font>
    <font>
      <sz val="12"/>
      <color rgb="FF000000"/>
      <name val="맑은 고딕"/>
      <family val="3"/>
      <charset val="129"/>
    </font>
    <font>
      <sz val="22"/>
      <color rgb="FF000000"/>
      <name val="HY헤드라인M"/>
      <family val="1"/>
      <charset val="129"/>
    </font>
    <font>
      <b/>
      <sz val="12"/>
      <color rgb="FF000000"/>
      <name val="맑은 고딕"/>
      <family val="3"/>
      <charset val="129"/>
    </font>
    <font>
      <sz val="8"/>
      <name val="돋움"/>
      <family val="3"/>
      <charset val="129"/>
    </font>
    <font>
      <b/>
      <sz val="10"/>
      <color rgb="FFFFFFFF"/>
      <name val="맑은 고딕"/>
      <family val="3"/>
      <charset val="129"/>
    </font>
    <font>
      <sz val="10"/>
      <color rgb="FFFF0000"/>
      <name val="맑은 고딕"/>
      <family val="3"/>
      <charset val="129"/>
    </font>
    <font>
      <b/>
      <sz val="10"/>
      <color rgb="FF000000"/>
      <name val="맑은 고딕"/>
      <family val="3"/>
      <charset val="129"/>
    </font>
    <font>
      <b/>
      <sz val="10"/>
      <color rgb="FFFF0000"/>
      <name val="맑은 고딕"/>
      <family val="3"/>
      <charset val="129"/>
    </font>
    <font>
      <u/>
      <sz val="10"/>
      <color rgb="FF000000"/>
      <name val="맑은 고딕"/>
      <family val="3"/>
      <charset val="129"/>
    </font>
    <font>
      <sz val="10"/>
      <name val="맑은 고딕"/>
      <family val="3"/>
      <charset val="129"/>
    </font>
    <font>
      <b/>
      <sz val="10"/>
      <color rgb="FF0000FF"/>
      <name val="맑은 고딕"/>
      <family val="3"/>
      <charset val="129"/>
    </font>
    <font>
      <sz val="22"/>
      <color theme="1"/>
      <name val="HY헤드라인M"/>
      <family val="1"/>
      <charset val="129"/>
    </font>
    <font>
      <sz val="8"/>
      <name val="맑은 고딕"/>
      <family val="2"/>
      <charset val="129"/>
      <scheme val="minor"/>
    </font>
    <font>
      <b/>
      <sz val="14"/>
      <color theme="1"/>
      <name val="맑은 고딕"/>
      <family val="3"/>
      <charset val="129"/>
      <scheme val="minor"/>
    </font>
    <font>
      <sz val="11"/>
      <color theme="1"/>
      <name val="맑은 고딕"/>
      <family val="3"/>
      <charset val="129"/>
      <scheme val="minor"/>
    </font>
    <font>
      <b/>
      <sz val="12"/>
      <color theme="1"/>
      <name val="맑은 고딕"/>
      <family val="3"/>
      <charset val="129"/>
      <scheme val="minor"/>
    </font>
    <font>
      <b/>
      <sz val="11"/>
      <color theme="1"/>
      <name val="맑은 고딕"/>
      <family val="3"/>
      <charset val="129"/>
      <scheme val="minor"/>
    </font>
    <font>
      <b/>
      <sz val="11"/>
      <color rgb="FFFF0000"/>
      <name val="맑은 고딕"/>
      <family val="3"/>
      <charset val="129"/>
      <scheme val="minor"/>
    </font>
    <font>
      <b/>
      <sz val="10"/>
      <color rgb="FFFF0000"/>
      <name val="맑은 고딕"/>
      <family val="3"/>
      <charset val="129"/>
      <scheme val="minor"/>
    </font>
    <font>
      <sz val="10"/>
      <color rgb="FFFF0000"/>
      <name val="맑은 고딕"/>
      <family val="3"/>
      <charset val="129"/>
      <scheme val="minor"/>
    </font>
    <font>
      <b/>
      <sz val="11"/>
      <name val="맑은 고딕"/>
      <family val="3"/>
      <charset val="129"/>
      <scheme val="minor"/>
    </font>
    <font>
      <b/>
      <sz val="10"/>
      <name val="맑은 고딕"/>
      <family val="3"/>
      <charset val="129"/>
      <scheme val="minor"/>
    </font>
    <font>
      <b/>
      <sz val="10"/>
      <color theme="1"/>
      <name val="맑은 고딕"/>
      <family val="3"/>
      <charset val="129"/>
      <scheme val="minor"/>
    </font>
    <font>
      <b/>
      <u/>
      <sz val="10"/>
      <name val="맑은 고딕"/>
      <family val="3"/>
      <charset val="129"/>
      <scheme val="minor"/>
    </font>
    <font>
      <b/>
      <u/>
      <sz val="10"/>
      <color theme="1"/>
      <name val="맑은 고딕"/>
      <family val="3"/>
      <charset val="129"/>
      <scheme val="minor"/>
    </font>
    <font>
      <sz val="10"/>
      <color theme="1"/>
      <name val="맑은 고딕"/>
      <family val="3"/>
      <charset val="129"/>
      <scheme val="minor"/>
    </font>
    <font>
      <b/>
      <sz val="11"/>
      <color rgb="FF000000"/>
      <name val="맑은 고딕"/>
      <family val="3"/>
      <charset val="129"/>
    </font>
    <font>
      <sz val="10"/>
      <color rgb="FF44546A"/>
      <name val="맑은 고딕"/>
      <family val="3"/>
      <charset val="129"/>
    </font>
    <font>
      <b/>
      <sz val="10"/>
      <name val="맑은 고딕"/>
      <family val="3"/>
      <charset val="129"/>
    </font>
    <font>
      <sz val="10"/>
      <color theme="1"/>
      <name val="맑은 고딕"/>
      <family val="3"/>
      <charset val="129"/>
    </font>
    <font>
      <u/>
      <sz val="10"/>
      <name val="맑은 고딕"/>
      <family val="3"/>
      <charset val="129"/>
    </font>
    <font>
      <b/>
      <sz val="12"/>
      <name val="맑은 고딕"/>
      <family val="3"/>
      <charset val="129"/>
    </font>
    <font>
      <b/>
      <sz val="12"/>
      <color theme="4"/>
      <name val="맑은 고딕"/>
      <family val="3"/>
      <charset val="129"/>
    </font>
    <font>
      <sz val="10"/>
      <color rgb="FF0000FF"/>
      <name val="맑은 고딕"/>
      <family val="3"/>
      <charset val="129"/>
    </font>
    <font>
      <b/>
      <u/>
      <sz val="10"/>
      <color rgb="FFFF0000"/>
      <name val="맑은 고딕"/>
      <family val="3"/>
      <charset val="129"/>
    </font>
    <font>
      <u/>
      <sz val="10"/>
      <color rgb="FFFF0000"/>
      <name val="맑은 고딕"/>
      <family val="3"/>
      <charset val="129"/>
    </font>
    <font>
      <sz val="10"/>
      <name val="Segoe UI Symbol"/>
      <family val="3"/>
    </font>
    <font>
      <sz val="10"/>
      <name val="맑은 고딕"/>
      <family val="2"/>
      <charset val="129"/>
      <scheme val="minor"/>
    </font>
    <font>
      <sz val="10"/>
      <color rgb="FF000000"/>
      <name val="Segoe UI Symbol"/>
      <family val="3"/>
    </font>
    <font>
      <b/>
      <u/>
      <sz val="10"/>
      <color rgb="FF0000FF"/>
      <name val="맑은 고딕"/>
      <family val="3"/>
      <charset val="129"/>
    </font>
  </fonts>
  <fills count="10">
    <fill>
      <patternFill patternType="none"/>
    </fill>
    <fill>
      <patternFill patternType="gray125"/>
    </fill>
    <fill>
      <patternFill patternType="solid">
        <fgColor rgb="FFD9D9D9"/>
        <bgColor indexed="64"/>
      </patternFill>
    </fill>
    <fill>
      <patternFill patternType="solid">
        <fgColor rgb="FFDDEBF7"/>
        <bgColor indexed="64"/>
      </patternFill>
    </fill>
    <fill>
      <patternFill patternType="solid">
        <fgColor rgb="FFFFFFCC"/>
        <bgColor indexed="64"/>
      </patternFill>
    </fill>
    <fill>
      <patternFill patternType="solid">
        <fgColor rgb="FFFFFFDD"/>
        <bgColor indexed="64"/>
      </patternFill>
    </fill>
    <fill>
      <patternFill patternType="solid">
        <fgColor theme="0" tint="-4.9989318521683403E-2"/>
        <bgColor indexed="64"/>
      </patternFill>
    </fill>
    <fill>
      <patternFill patternType="solid">
        <fgColor rgb="FFFFE5E5"/>
        <bgColor indexed="64"/>
      </patternFill>
    </fill>
    <fill>
      <patternFill patternType="solid">
        <fgColor theme="8" tint="0.79998168889431442"/>
        <bgColor indexed="64"/>
      </patternFill>
    </fill>
    <fill>
      <patternFill patternType="solid">
        <fgColor rgb="FFFBE5D7"/>
        <bgColor indexed="64"/>
      </patternFill>
    </fill>
  </fills>
  <borders count="40">
    <border>
      <left/>
      <right/>
      <top/>
      <bottom/>
      <diagonal/>
    </border>
    <border>
      <left style="thin">
        <color rgb="FFB2B2B2"/>
      </left>
      <right style="thin">
        <color rgb="FFB2B2B2"/>
      </right>
      <top style="thin">
        <color rgb="FFB2B2B2"/>
      </top>
      <bottom style="thin">
        <color rgb="FFB2B2B2"/>
      </bottom>
      <diagonal/>
    </border>
    <border>
      <left/>
      <right/>
      <top/>
      <bottom style="medium">
        <color auto="1"/>
      </bottom>
      <diagonal/>
    </border>
    <border>
      <left style="medium">
        <color auto="1"/>
      </left>
      <right style="thin">
        <color auto="1"/>
      </right>
      <top style="medium">
        <color auto="1"/>
      </top>
      <bottom style="double">
        <color auto="1"/>
      </bottom>
      <diagonal/>
    </border>
    <border>
      <left style="thin">
        <color auto="1"/>
      </left>
      <right style="thin">
        <color auto="1"/>
      </right>
      <top style="medium">
        <color auto="1"/>
      </top>
      <bottom style="double">
        <color auto="1"/>
      </bottom>
      <diagonal/>
    </border>
    <border>
      <left style="thin">
        <color auto="1"/>
      </left>
      <right style="medium">
        <color auto="1"/>
      </right>
      <top style="medium">
        <color auto="1"/>
      </top>
      <bottom style="double">
        <color auto="1"/>
      </bottom>
      <diagonal/>
    </border>
    <border>
      <left style="thin">
        <color auto="1"/>
      </left>
      <right/>
      <top/>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bottom style="thin">
        <color auto="1"/>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right style="thin">
        <color indexed="64"/>
      </right>
      <top/>
      <bottom/>
      <diagonal/>
    </border>
    <border>
      <left style="thin">
        <color indexed="64"/>
      </left>
      <right style="medium">
        <color indexed="64"/>
      </right>
      <top/>
      <bottom/>
      <diagonal/>
    </border>
    <border>
      <left style="medium">
        <color indexed="64"/>
      </left>
      <right style="thin">
        <color indexed="64"/>
      </right>
      <top/>
      <bottom/>
      <diagonal/>
    </border>
    <border>
      <left style="thin">
        <color indexed="64"/>
      </left>
      <right style="medium">
        <color indexed="64"/>
      </right>
      <top style="hair">
        <color indexed="64"/>
      </top>
      <bottom style="hair">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style="hair">
        <color indexed="64"/>
      </top>
      <bottom/>
      <diagonal/>
    </border>
    <border>
      <left style="medium">
        <color indexed="64"/>
      </left>
      <right/>
      <top style="thin">
        <color indexed="64"/>
      </top>
      <bottom/>
      <diagonal/>
    </border>
    <border>
      <left/>
      <right/>
      <top style="thin">
        <color indexed="64"/>
      </top>
      <bottom/>
      <diagonal/>
    </border>
    <border>
      <left style="medium">
        <color indexed="64"/>
      </left>
      <right/>
      <top/>
      <bottom/>
      <diagonal/>
    </border>
    <border>
      <left/>
      <right style="medium">
        <color indexed="64"/>
      </right>
      <top style="thin">
        <color indexed="64"/>
      </top>
      <bottom/>
      <diagonal/>
    </border>
    <border>
      <left style="medium">
        <color indexed="64"/>
      </left>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style="hair">
        <color indexed="64"/>
      </top>
      <bottom style="medium">
        <color indexed="64"/>
      </bottom>
      <diagonal/>
    </border>
    <border>
      <left style="thin">
        <color auto="1"/>
      </left>
      <right style="thin">
        <color auto="1"/>
      </right>
      <top style="double">
        <color auto="1"/>
      </top>
      <bottom/>
      <diagonal/>
    </border>
    <border>
      <left style="thin">
        <color auto="1"/>
      </left>
      <right style="medium">
        <color auto="1"/>
      </right>
      <top style="double">
        <color auto="1"/>
      </top>
      <bottom/>
      <diagonal/>
    </border>
    <border>
      <left style="medium">
        <color indexed="64"/>
      </left>
      <right style="thin">
        <color auto="1"/>
      </right>
      <top style="thin">
        <color auto="1"/>
      </top>
      <bottom style="thin">
        <color auto="1"/>
      </bottom>
      <diagonal/>
    </border>
    <border>
      <left style="medium">
        <color indexed="64"/>
      </left>
      <right style="thin">
        <color auto="1"/>
      </right>
      <top style="thin">
        <color auto="1"/>
      </top>
      <bottom style="medium">
        <color indexed="64"/>
      </bottom>
      <diagonal/>
    </border>
  </borders>
  <cellStyleXfs count="3">
    <xf numFmtId="0" fontId="0" fillId="0" borderId="0">
      <alignment vertical="center"/>
    </xf>
    <xf numFmtId="0" fontId="2" fillId="4" borderId="1">
      <alignment vertical="center"/>
    </xf>
    <xf numFmtId="0" fontId="1" fillId="0" borderId="0">
      <alignment vertical="center"/>
    </xf>
  </cellStyleXfs>
  <cellXfs count="158">
    <xf numFmtId="0" fontId="0" fillId="0" borderId="0" xfId="0">
      <alignment vertical="center"/>
    </xf>
    <xf numFmtId="0" fontId="3" fillId="0" borderId="0" xfId="0" applyFont="1" applyAlignment="1">
      <alignment horizontal="center" vertical="center"/>
    </xf>
    <xf numFmtId="0" fontId="5" fillId="0" borderId="0" xfId="0" applyFont="1" applyAlignment="1">
      <alignment horizontal="center" vertical="center"/>
    </xf>
    <xf numFmtId="0" fontId="3" fillId="0" borderId="0" xfId="0" applyFont="1" applyAlignment="1">
      <alignment horizontal="left" vertical="center" indent="1"/>
    </xf>
    <xf numFmtId="0" fontId="6" fillId="0" borderId="0" xfId="0" applyFont="1" applyAlignment="1">
      <alignment horizontal="left" vertical="center" indent="1"/>
    </xf>
    <xf numFmtId="0" fontId="7" fillId="0" borderId="0" xfId="0" applyFont="1" applyAlignment="1">
      <alignment horizontal="center" vertical="center"/>
    </xf>
    <xf numFmtId="0" fontId="3" fillId="0" borderId="0" xfId="0" quotePrefix="1" applyFont="1" applyAlignment="1">
      <alignment horizontal="left" vertical="center" wrapText="1"/>
    </xf>
    <xf numFmtId="0" fontId="3" fillId="0" borderId="0" xfId="0" applyFont="1" applyAlignment="1">
      <alignment horizontal="left" vertical="center" wrapText="1"/>
    </xf>
    <xf numFmtId="0" fontId="10" fillId="0" borderId="0" xfId="0" applyFont="1" applyAlignment="1">
      <alignment horizontal="right" vertical="center"/>
    </xf>
    <xf numFmtId="0" fontId="11" fillId="0" borderId="0" xfId="0" applyFont="1" applyAlignment="1">
      <alignment horizontal="center" vertical="center"/>
    </xf>
    <xf numFmtId="0" fontId="11" fillId="2" borderId="3" xfId="0" applyFont="1" applyFill="1" applyBorder="1" applyAlignment="1">
      <alignment horizontal="center" vertical="center"/>
    </xf>
    <xf numFmtId="0" fontId="11" fillId="2" borderId="4" xfId="0" applyFont="1" applyFill="1" applyBorder="1" applyAlignment="1">
      <alignment horizontal="center" vertical="center" shrinkToFit="1"/>
    </xf>
    <xf numFmtId="0" fontId="11" fillId="2" borderId="4" xfId="0" applyFont="1" applyFill="1" applyBorder="1" applyAlignment="1">
      <alignment horizontal="center" vertical="center" wrapText="1" shrinkToFit="1"/>
    </xf>
    <xf numFmtId="0" fontId="11" fillId="2" borderId="5" xfId="0" applyFont="1" applyFill="1" applyBorder="1" applyAlignment="1">
      <alignment horizontal="center" vertical="center" shrinkToFit="1"/>
    </xf>
    <xf numFmtId="0" fontId="1" fillId="0" borderId="0" xfId="2">
      <alignment vertical="center"/>
    </xf>
    <xf numFmtId="0" fontId="18" fillId="0" borderId="0" xfId="2" applyFont="1" applyAlignment="1">
      <alignment horizontal="right" vertical="center"/>
    </xf>
    <xf numFmtId="0" fontId="19" fillId="0" borderId="0" xfId="2" applyFont="1" applyAlignment="1">
      <alignment horizontal="right" vertical="center"/>
    </xf>
    <xf numFmtId="0" fontId="1" fillId="0" borderId="0" xfId="2" applyAlignment="1">
      <alignment horizontal="right" vertical="center"/>
    </xf>
    <xf numFmtId="0" fontId="20" fillId="6" borderId="5" xfId="2" applyFont="1" applyFill="1" applyBorder="1" applyAlignment="1">
      <alignment horizontal="center" vertical="center"/>
    </xf>
    <xf numFmtId="0" fontId="20" fillId="0" borderId="0" xfId="2" applyFont="1">
      <alignment vertical="center"/>
    </xf>
    <xf numFmtId="0" fontId="23" fillId="7" borderId="20" xfId="2" applyFont="1" applyFill="1" applyBorder="1" applyAlignment="1">
      <alignment horizontal="left" vertical="center" wrapText="1" indent="1"/>
    </xf>
    <xf numFmtId="0" fontId="24" fillId="7" borderId="22" xfId="2" applyFont="1" applyFill="1" applyBorder="1" applyAlignment="1">
      <alignment horizontal="left" vertical="center" wrapText="1" indent="2"/>
    </xf>
    <xf numFmtId="0" fontId="24" fillId="7" borderId="10" xfId="2" applyFont="1" applyFill="1" applyBorder="1" applyAlignment="1">
      <alignment horizontal="left" vertical="center" wrapText="1" indent="2"/>
    </xf>
    <xf numFmtId="0" fontId="25" fillId="7" borderId="24" xfId="2" applyFont="1" applyFill="1" applyBorder="1" applyAlignment="1">
      <alignment horizontal="center" vertical="center"/>
    </xf>
    <xf numFmtId="0" fontId="26" fillId="7" borderId="10" xfId="2" applyFont="1" applyFill="1" applyBorder="1" applyAlignment="1">
      <alignment horizontal="left" vertical="center" wrapText="1" indent="1"/>
    </xf>
    <xf numFmtId="0" fontId="27" fillId="7" borderId="11" xfId="2" applyFont="1" applyFill="1" applyBorder="1" applyAlignment="1">
      <alignment horizontal="left" vertical="center" wrapText="1" indent="1"/>
    </xf>
    <xf numFmtId="0" fontId="21" fillId="7" borderId="24" xfId="2" applyFont="1" applyFill="1" applyBorder="1" applyAlignment="1">
      <alignment horizontal="center" vertical="center"/>
    </xf>
    <xf numFmtId="0" fontId="21" fillId="0" borderId="9" xfId="2" applyFont="1" applyBorder="1" applyAlignment="1">
      <alignment horizontal="center" vertical="center" wrapText="1"/>
    </xf>
    <xf numFmtId="0" fontId="27" fillId="0" borderId="11" xfId="2" applyFont="1" applyBorder="1" applyAlignment="1">
      <alignment horizontal="left" vertical="center" wrapText="1" indent="1"/>
    </xf>
    <xf numFmtId="0" fontId="27" fillId="0" borderId="26" xfId="2" applyFont="1" applyBorder="1" applyAlignment="1">
      <alignment horizontal="left" vertical="center" wrapText="1" indent="1"/>
    </xf>
    <xf numFmtId="0" fontId="30" fillId="0" borderId="22" xfId="2" applyFont="1" applyBorder="1" applyAlignment="1">
      <alignment horizontal="left" vertical="center" wrapText="1" indent="2"/>
    </xf>
    <xf numFmtId="0" fontId="30" fillId="0" borderId="27" xfId="2" applyFont="1" applyBorder="1" applyAlignment="1">
      <alignment horizontal="left" vertical="center" wrapText="1" indent="2"/>
    </xf>
    <xf numFmtId="0" fontId="30" fillId="0" borderId="20" xfId="2" applyFont="1" applyBorder="1" applyAlignment="1">
      <alignment horizontal="left" vertical="center" wrapText="1" indent="2"/>
    </xf>
    <xf numFmtId="0" fontId="27" fillId="0" borderId="20" xfId="2" applyFont="1" applyBorder="1" applyAlignment="1">
      <alignment horizontal="left" vertical="center" wrapText="1" indent="1"/>
    </xf>
    <xf numFmtId="0" fontId="30" fillId="0" borderId="28" xfId="2" applyFont="1" applyBorder="1" applyAlignment="1">
      <alignment horizontal="left" vertical="center" wrapText="1" indent="2"/>
    </xf>
    <xf numFmtId="0" fontId="27" fillId="0" borderId="10" xfId="2" applyFont="1" applyBorder="1" applyAlignment="1">
      <alignment horizontal="left" vertical="center" wrapText="1" indent="1"/>
    </xf>
    <xf numFmtId="0" fontId="21" fillId="8" borderId="12" xfId="2" applyFont="1" applyFill="1" applyBorder="1" applyAlignment="1">
      <alignment horizontal="center" vertical="center"/>
    </xf>
    <xf numFmtId="0" fontId="27" fillId="8" borderId="11" xfId="2" applyFont="1" applyFill="1" applyBorder="1" applyAlignment="1">
      <alignment horizontal="left" vertical="center" wrapText="1" indent="1"/>
    </xf>
    <xf numFmtId="0" fontId="21" fillId="8" borderId="12" xfId="2" applyFont="1" applyFill="1" applyBorder="1" applyAlignment="1">
      <alignment horizontal="center" vertical="center" wrapText="1"/>
    </xf>
    <xf numFmtId="0" fontId="23" fillId="8" borderId="32" xfId="2" applyFont="1" applyFill="1" applyBorder="1" applyAlignment="1">
      <alignment horizontal="left" vertical="center" wrapText="1" indent="1"/>
    </xf>
    <xf numFmtId="0" fontId="24" fillId="8" borderId="28" xfId="2" applyFont="1" applyFill="1" applyBorder="1" applyAlignment="1">
      <alignment horizontal="left" vertical="center" wrapText="1" indent="2"/>
    </xf>
    <xf numFmtId="0" fontId="24" fillId="8" borderId="35" xfId="2" applyFont="1" applyFill="1" applyBorder="1" applyAlignment="1">
      <alignment horizontal="left" vertical="center" wrapText="1" indent="2"/>
    </xf>
    <xf numFmtId="0" fontId="11" fillId="9" borderId="4" xfId="0" applyFont="1" applyFill="1" applyBorder="1" applyAlignment="1">
      <alignment horizontal="center" vertical="center" wrapText="1" shrinkToFit="1"/>
    </xf>
    <xf numFmtId="0" fontId="9" fillId="0" borderId="2" xfId="0" applyFont="1" applyFill="1" applyBorder="1" applyAlignment="1">
      <alignment horizontal="center" vertical="center"/>
    </xf>
    <xf numFmtId="0" fontId="3" fillId="0" borderId="9" xfId="0" applyFont="1" applyFill="1" applyBorder="1" applyAlignment="1" applyProtection="1">
      <alignment horizontal="center" vertical="center" wrapText="1" shrinkToFit="1"/>
      <protection locked="0"/>
    </xf>
    <xf numFmtId="0" fontId="7" fillId="0" borderId="9" xfId="1" applyFont="1" applyFill="1" applyBorder="1" applyAlignment="1" applyProtection="1">
      <alignment horizontal="center" vertical="center" wrapText="1" shrinkToFit="1"/>
      <protection locked="0"/>
    </xf>
    <xf numFmtId="0" fontId="3" fillId="0" borderId="9" xfId="1" applyFont="1" applyFill="1" applyBorder="1" applyAlignment="1" applyProtection="1">
      <alignment horizontal="center" vertical="center" wrapText="1" shrinkToFit="1"/>
      <protection locked="0"/>
    </xf>
    <xf numFmtId="0" fontId="3" fillId="0" borderId="9" xfId="1" applyFont="1" applyFill="1" applyBorder="1" applyAlignment="1" applyProtection="1">
      <alignment horizontal="left" vertical="center" wrapText="1" shrinkToFit="1"/>
      <protection locked="0"/>
    </xf>
    <xf numFmtId="0" fontId="14" fillId="0" borderId="9" xfId="1" applyFont="1" applyFill="1" applyBorder="1" applyAlignment="1" applyProtection="1">
      <alignment horizontal="left" vertical="center" wrapText="1" shrinkToFit="1"/>
      <protection locked="0"/>
    </xf>
    <xf numFmtId="0" fontId="7" fillId="0" borderId="9" xfId="0" applyFont="1" applyFill="1" applyBorder="1" applyAlignment="1" applyProtection="1">
      <alignment horizontal="center" vertical="center" wrapText="1" shrinkToFit="1"/>
      <protection locked="0"/>
    </xf>
    <xf numFmtId="0" fontId="3" fillId="0" borderId="9" xfId="0" applyFont="1" applyFill="1" applyBorder="1" applyAlignment="1" applyProtection="1">
      <alignment horizontal="left" vertical="center" wrapText="1" shrinkToFit="1"/>
      <protection locked="0"/>
    </xf>
    <xf numFmtId="0" fontId="14" fillId="0" borderId="9" xfId="1" applyFont="1" applyFill="1" applyBorder="1" applyAlignment="1" applyProtection="1">
      <alignment horizontal="center" vertical="center" wrapText="1" shrinkToFit="1"/>
      <protection locked="0"/>
    </xf>
    <xf numFmtId="0" fontId="14" fillId="0" borderId="9" xfId="0" applyFont="1" applyFill="1" applyBorder="1" applyAlignment="1" applyProtection="1">
      <alignment horizontal="center" vertical="center" wrapText="1" shrinkToFit="1"/>
      <protection locked="0"/>
    </xf>
    <xf numFmtId="0" fontId="11" fillId="0" borderId="9" xfId="0" applyFont="1" applyFill="1" applyBorder="1" applyAlignment="1" applyProtection="1">
      <alignment horizontal="center" vertical="center" wrapText="1" shrinkToFit="1"/>
      <protection locked="0"/>
    </xf>
    <xf numFmtId="0" fontId="3" fillId="0" borderId="9" xfId="1" applyFont="1" applyFill="1" applyBorder="1" applyAlignment="1" applyProtection="1">
      <alignment horizontal="left" vertical="center" wrapText="1"/>
      <protection locked="0"/>
    </xf>
    <xf numFmtId="0" fontId="3" fillId="0" borderId="11" xfId="1" applyFont="1" applyFill="1" applyBorder="1" applyAlignment="1" applyProtection="1">
      <alignment horizontal="left" vertical="center" wrapText="1" shrinkToFit="1"/>
      <protection locked="0"/>
    </xf>
    <xf numFmtId="0" fontId="3" fillId="0" borderId="11" xfId="0" applyFont="1" applyFill="1" applyBorder="1" applyAlignment="1" applyProtection="1">
      <alignment horizontal="left" vertical="center" wrapText="1" shrinkToFit="1"/>
      <protection locked="0"/>
    </xf>
    <xf numFmtId="0" fontId="3" fillId="0" borderId="11" xfId="1" applyFont="1" applyFill="1" applyBorder="1" applyAlignment="1" applyProtection="1">
      <alignment horizontal="left" vertical="center" wrapText="1"/>
      <protection locked="0"/>
    </xf>
    <xf numFmtId="0" fontId="3" fillId="0" borderId="6"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9" xfId="1" applyFont="1" applyFill="1" applyBorder="1" applyAlignment="1" applyProtection="1">
      <alignment horizontal="center" vertical="center" wrapText="1"/>
      <protection locked="0"/>
    </xf>
    <xf numFmtId="0" fontId="27" fillId="0" borderId="20" xfId="2" applyFont="1" applyFill="1" applyBorder="1" applyAlignment="1">
      <alignment horizontal="left" vertical="center" wrapText="1" indent="2"/>
    </xf>
    <xf numFmtId="0" fontId="3" fillId="0" borderId="9" xfId="0" applyFont="1" applyFill="1" applyBorder="1" applyAlignment="1">
      <alignment horizontal="center" vertical="center" wrapText="1" shrinkToFit="1"/>
    </xf>
    <xf numFmtId="0" fontId="11" fillId="0" borderId="9" xfId="0" applyFont="1" applyFill="1" applyBorder="1" applyAlignment="1">
      <alignment horizontal="center" vertical="center" wrapText="1" shrinkToFit="1"/>
    </xf>
    <xf numFmtId="0" fontId="7" fillId="0" borderId="9" xfId="1" applyFont="1" applyFill="1" applyBorder="1" applyAlignment="1">
      <alignment horizontal="center" vertical="center" wrapText="1" shrinkToFit="1"/>
    </xf>
    <xf numFmtId="0" fontId="3" fillId="0" borderId="9" xfId="1" applyFont="1" applyFill="1" applyBorder="1" applyAlignment="1">
      <alignment horizontal="center" vertical="center" wrapText="1" shrinkToFit="1"/>
    </xf>
    <xf numFmtId="0" fontId="3" fillId="0" borderId="9" xfId="1" applyFont="1" applyFill="1" applyBorder="1" applyAlignment="1">
      <alignment horizontal="left" vertical="center" wrapText="1" shrinkToFit="1"/>
    </xf>
    <xf numFmtId="0" fontId="3" fillId="0" borderId="9" xfId="1" applyFont="1" applyFill="1" applyBorder="1" applyAlignment="1">
      <alignment vertical="center" wrapText="1"/>
    </xf>
    <xf numFmtId="0" fontId="3" fillId="0" borderId="9" xfId="1" applyFont="1" applyFill="1" applyBorder="1" applyAlignment="1">
      <alignment horizontal="left" vertical="center" wrapText="1"/>
    </xf>
    <xf numFmtId="0" fontId="14" fillId="0" borderId="9" xfId="1" applyFont="1" applyFill="1" applyBorder="1" applyAlignment="1">
      <alignment horizontal="left" vertical="center" wrapText="1" shrinkToFit="1"/>
    </xf>
    <xf numFmtId="0" fontId="14" fillId="0" borderId="9" xfId="0" applyFont="1" applyFill="1" applyBorder="1" applyAlignment="1">
      <alignment horizontal="center" vertical="center" wrapText="1" shrinkToFit="1"/>
    </xf>
    <xf numFmtId="0" fontId="33" fillId="0" borderId="9" xfId="0" applyFont="1" applyFill="1" applyBorder="1" applyAlignment="1">
      <alignment horizontal="center" vertical="center" wrapText="1" shrinkToFit="1"/>
    </xf>
    <xf numFmtId="0" fontId="36" fillId="0" borderId="9" xfId="1" applyFont="1" applyFill="1" applyBorder="1" applyAlignment="1">
      <alignment horizontal="center" vertical="center" wrapText="1" shrinkToFit="1"/>
    </xf>
    <xf numFmtId="0" fontId="14" fillId="0" borderId="9" xfId="1" applyFont="1" applyFill="1" applyBorder="1" applyAlignment="1">
      <alignment horizontal="center" vertical="center" wrapText="1" shrinkToFit="1"/>
    </xf>
    <xf numFmtId="0" fontId="10" fillId="0" borderId="9" xfId="1" applyFont="1" applyFill="1" applyBorder="1" applyAlignment="1">
      <alignment horizontal="left" vertical="center" wrapText="1" shrinkToFit="1"/>
    </xf>
    <xf numFmtId="0" fontId="3" fillId="0" borderId="11" xfId="1" applyFont="1" applyFill="1" applyBorder="1" applyAlignment="1">
      <alignment horizontal="left" vertical="center" wrapText="1" shrinkToFit="1"/>
    </xf>
    <xf numFmtId="0" fontId="3" fillId="0" borderId="0" xfId="0" applyFont="1" applyFill="1" applyAlignment="1">
      <alignment horizontal="center" vertical="center"/>
    </xf>
    <xf numFmtId="0" fontId="34" fillId="0" borderId="9" xfId="1" applyFont="1" applyFill="1" applyBorder="1" applyAlignment="1">
      <alignment horizontal="center" vertical="center" wrapText="1" shrinkToFit="1"/>
    </xf>
    <xf numFmtId="0" fontId="14" fillId="0" borderId="9" xfId="1" applyFont="1" applyFill="1" applyBorder="1" applyAlignment="1">
      <alignment horizontal="left" vertical="center" wrapText="1"/>
    </xf>
    <xf numFmtId="0" fontId="3" fillId="0" borderId="9" xfId="0" applyFont="1" applyFill="1" applyBorder="1" applyAlignment="1">
      <alignment horizontal="center" vertical="center" shrinkToFit="1"/>
    </xf>
    <xf numFmtId="0" fontId="11" fillId="0" borderId="9" xfId="0" applyFont="1" applyFill="1" applyBorder="1" applyAlignment="1">
      <alignment horizontal="center" vertical="center" shrinkToFit="1"/>
    </xf>
    <xf numFmtId="0" fontId="3" fillId="0" borderId="9" xfId="1" applyFont="1" applyFill="1" applyBorder="1" applyAlignment="1">
      <alignment horizontal="left" vertical="center" wrapText="1" indent="1" shrinkToFit="1"/>
    </xf>
    <xf numFmtId="0" fontId="5" fillId="0" borderId="0" xfId="0" applyFont="1" applyFill="1" applyAlignment="1">
      <alignment horizontal="center" vertical="center"/>
    </xf>
    <xf numFmtId="0" fontId="38" fillId="0" borderId="9" xfId="1" applyFont="1" applyFill="1" applyBorder="1" applyAlignment="1">
      <alignment horizontal="left" vertical="center" wrapText="1" shrinkToFit="1"/>
    </xf>
    <xf numFmtId="0" fontId="7" fillId="0" borderId="9" xfId="0" applyFont="1" applyFill="1" applyBorder="1" applyAlignment="1">
      <alignment horizontal="center" vertical="center" wrapText="1" shrinkToFit="1"/>
    </xf>
    <xf numFmtId="0" fontId="31" fillId="0" borderId="9" xfId="0" applyFont="1" applyFill="1" applyBorder="1" applyAlignment="1">
      <alignment horizontal="center" vertical="center" wrapText="1" shrinkToFit="1"/>
    </xf>
    <xf numFmtId="0" fontId="3" fillId="0" borderId="9" xfId="0" applyFont="1" applyFill="1" applyBorder="1" applyAlignment="1">
      <alignment horizontal="left" vertical="center" wrapText="1" shrinkToFit="1"/>
    </xf>
    <xf numFmtId="0" fontId="3" fillId="0" borderId="9" xfId="1" applyFont="1" applyFill="1" applyBorder="1" applyAlignment="1">
      <alignment vertical="center" wrapText="1" shrinkToFit="1"/>
    </xf>
    <xf numFmtId="0" fontId="3" fillId="0" borderId="9" xfId="1" applyFont="1" applyFill="1" applyBorder="1" applyAlignment="1">
      <alignment horizontal="center" vertical="center" wrapText="1"/>
    </xf>
    <xf numFmtId="0" fontId="14" fillId="0" borderId="9" xfId="0" applyFont="1" applyFill="1" applyBorder="1" applyAlignment="1">
      <alignment horizontal="center" vertical="center" shrinkToFit="1"/>
    </xf>
    <xf numFmtId="0" fontId="14" fillId="0" borderId="9" xfId="1" applyFont="1" applyFill="1" applyBorder="1" applyAlignment="1">
      <alignment horizontal="center" vertical="center" shrinkToFit="1"/>
    </xf>
    <xf numFmtId="0" fontId="14" fillId="0" borderId="9" xfId="1" applyFont="1" applyFill="1" applyBorder="1" applyAlignment="1">
      <alignment horizontal="left" vertical="center" wrapText="1" indent="1" shrinkToFit="1"/>
    </xf>
    <xf numFmtId="0" fontId="3" fillId="0" borderId="9" xfId="0" applyFont="1" applyFill="1" applyBorder="1" applyAlignment="1">
      <alignment horizontal="center" vertical="center" wrapText="1"/>
    </xf>
    <xf numFmtId="0" fontId="7" fillId="0" borderId="9" xfId="0" applyFont="1" applyFill="1" applyBorder="1" applyAlignment="1">
      <alignment horizontal="center" vertical="center" wrapText="1"/>
    </xf>
    <xf numFmtId="0" fontId="3" fillId="0" borderId="9" xfId="1" quotePrefix="1" applyFont="1" applyFill="1" applyBorder="1" applyAlignment="1">
      <alignment horizontal="center" vertical="center" wrapText="1" shrinkToFit="1"/>
    </xf>
    <xf numFmtId="0" fontId="14" fillId="0" borderId="9" xfId="1" quotePrefix="1" applyFont="1" applyFill="1" applyBorder="1" applyAlignment="1">
      <alignment horizontal="center" vertical="center" wrapText="1" shrinkToFit="1"/>
    </xf>
    <xf numFmtId="0" fontId="3" fillId="0" borderId="9" xfId="1" applyFont="1" applyFill="1" applyBorder="1" applyAlignment="1">
      <alignment horizontal="center" vertical="center"/>
    </xf>
    <xf numFmtId="0" fontId="14" fillId="0" borderId="9" xfId="1" applyFont="1" applyFill="1" applyBorder="1" applyAlignment="1" applyProtection="1">
      <alignment horizontal="left" vertical="center" wrapText="1"/>
      <protection locked="0"/>
    </xf>
    <xf numFmtId="0" fontId="3" fillId="0" borderId="9" xfId="0" applyFont="1" applyFill="1" applyBorder="1" applyAlignment="1">
      <alignment vertical="center" wrapText="1"/>
    </xf>
    <xf numFmtId="0" fontId="7" fillId="3" borderId="18" xfId="0" applyFont="1" applyFill="1" applyBorder="1" applyAlignment="1">
      <alignment horizontal="center" vertical="center"/>
    </xf>
    <xf numFmtId="0" fontId="7" fillId="3" borderId="36" xfId="0" applyFont="1" applyFill="1" applyBorder="1" applyAlignment="1">
      <alignment horizontal="center" vertical="center" shrinkToFit="1"/>
    </xf>
    <xf numFmtId="0" fontId="7" fillId="3" borderId="36" xfId="0" applyFont="1" applyFill="1" applyBorder="1" applyAlignment="1">
      <alignment horizontal="center" vertical="center" wrapText="1" shrinkToFit="1"/>
    </xf>
    <xf numFmtId="0" fontId="7" fillId="3" borderId="37" xfId="0" applyFont="1" applyFill="1" applyBorder="1" applyAlignment="1">
      <alignment horizontal="center" vertical="center" shrinkToFit="1"/>
    </xf>
    <xf numFmtId="0" fontId="3" fillId="0" borderId="9" xfId="0" applyFont="1" applyFill="1" applyBorder="1" applyAlignment="1">
      <alignment horizontal="center" vertical="center"/>
    </xf>
    <xf numFmtId="0" fontId="3" fillId="0" borderId="38" xfId="0" applyFont="1" applyFill="1" applyBorder="1" applyAlignment="1" applyProtection="1">
      <alignment horizontal="center" vertical="center" wrapText="1"/>
      <protection locked="0"/>
    </xf>
    <xf numFmtId="0" fontId="3" fillId="0" borderId="11" xfId="1" applyFont="1" applyFill="1" applyBorder="1" applyAlignment="1">
      <alignment horizontal="left" vertical="center" wrapText="1"/>
    </xf>
    <xf numFmtId="0" fontId="14" fillId="0" borderId="11" xfId="1" applyFont="1" applyFill="1" applyBorder="1" applyAlignment="1">
      <alignment horizontal="left" vertical="center" wrapText="1" shrinkToFit="1"/>
    </xf>
    <xf numFmtId="0" fontId="42" fillId="0" borderId="11" xfId="1" applyFont="1" applyFill="1" applyBorder="1" applyAlignment="1">
      <alignment horizontal="left" vertical="center" wrapText="1" shrinkToFit="1"/>
    </xf>
    <xf numFmtId="0" fontId="3" fillId="0" borderId="11" xfId="0" applyFont="1" applyFill="1" applyBorder="1" applyAlignment="1">
      <alignment horizontal="left" vertical="center" wrapText="1" shrinkToFit="1"/>
    </xf>
    <xf numFmtId="0" fontId="14" fillId="0" borderId="11" xfId="1" applyFont="1" applyFill="1" applyBorder="1" applyAlignment="1">
      <alignment horizontal="left" vertical="center" wrapText="1"/>
    </xf>
    <xf numFmtId="0" fontId="3" fillId="0" borderId="13" xfId="0" applyFont="1" applyFill="1" applyBorder="1" applyAlignment="1">
      <alignment horizontal="center" vertical="center" wrapText="1" shrinkToFit="1"/>
    </xf>
    <xf numFmtId="0" fontId="11" fillId="0" borderId="13" xfId="0" applyFont="1" applyFill="1" applyBorder="1" applyAlignment="1">
      <alignment horizontal="center" vertical="center" wrapText="1" shrinkToFit="1"/>
    </xf>
    <xf numFmtId="0" fontId="7" fillId="0" borderId="13" xfId="1" applyFont="1" applyFill="1" applyBorder="1" applyAlignment="1">
      <alignment horizontal="center" vertical="center" wrapText="1" shrinkToFit="1"/>
    </xf>
    <xf numFmtId="0" fontId="3" fillId="0" borderId="13" xfId="0" applyFont="1" applyFill="1" applyBorder="1" applyAlignment="1">
      <alignment horizontal="center" vertical="center" wrapText="1"/>
    </xf>
    <xf numFmtId="0" fontId="3" fillId="0" borderId="13" xfId="0" applyFont="1" applyFill="1" applyBorder="1" applyAlignment="1">
      <alignment horizontal="center" vertical="center"/>
    </xf>
    <xf numFmtId="0" fontId="3" fillId="0" borderId="13" xfId="1" applyFont="1" applyFill="1" applyBorder="1" applyAlignment="1">
      <alignment horizontal="left" vertical="center" wrapText="1" shrinkToFit="1"/>
    </xf>
    <xf numFmtId="0" fontId="3" fillId="0" borderId="13" xfId="1" applyFont="1" applyFill="1" applyBorder="1" applyAlignment="1">
      <alignment horizontal="center" vertical="center" wrapText="1" shrinkToFit="1"/>
    </xf>
    <xf numFmtId="0" fontId="3" fillId="0" borderId="13" xfId="0" applyFont="1" applyFill="1" applyBorder="1" applyAlignment="1">
      <alignment vertical="center" wrapText="1"/>
    </xf>
    <xf numFmtId="0" fontId="3" fillId="0" borderId="14" xfId="1" applyFont="1" applyFill="1" applyBorder="1" applyAlignment="1">
      <alignment horizontal="left" vertical="center" wrapText="1" shrinkToFit="1"/>
    </xf>
    <xf numFmtId="0" fontId="3" fillId="0" borderId="39" xfId="0" applyFont="1" applyFill="1" applyBorder="1" applyAlignment="1" applyProtection="1">
      <alignment horizontal="center" vertical="center" wrapText="1"/>
      <protection locked="0"/>
    </xf>
    <xf numFmtId="0" fontId="14" fillId="0" borderId="9" xfId="1" quotePrefix="1" applyFont="1" applyFill="1" applyBorder="1" applyAlignment="1" applyProtection="1">
      <alignment horizontal="center" vertical="center" wrapText="1"/>
      <protection locked="0"/>
    </xf>
    <xf numFmtId="0" fontId="14" fillId="0" borderId="9" xfId="0" applyFont="1" applyFill="1" applyBorder="1" applyAlignment="1" applyProtection="1">
      <alignment horizontal="center" vertical="center" wrapText="1"/>
      <protection locked="0"/>
    </xf>
    <xf numFmtId="0" fontId="21" fillId="8" borderId="29" xfId="2" applyFont="1" applyFill="1" applyBorder="1" applyAlignment="1">
      <alignment horizontal="center" vertical="center" wrapText="1"/>
    </xf>
    <xf numFmtId="0" fontId="21" fillId="8" borderId="30" xfId="2" applyFont="1" applyFill="1" applyBorder="1" applyAlignment="1">
      <alignment horizontal="center" vertical="center" wrapText="1"/>
    </xf>
    <xf numFmtId="0" fontId="21" fillId="8" borderId="31" xfId="2" applyFont="1" applyFill="1" applyBorder="1" applyAlignment="1">
      <alignment horizontal="center" vertical="center" wrapText="1"/>
    </xf>
    <xf numFmtId="0" fontId="21" fillId="8" borderId="0" xfId="2" applyFont="1" applyFill="1" applyAlignment="1">
      <alignment horizontal="center" vertical="center" wrapText="1"/>
    </xf>
    <xf numFmtId="0" fontId="21" fillId="8" borderId="33" xfId="2" applyFont="1" applyFill="1" applyBorder="1" applyAlignment="1">
      <alignment horizontal="center" vertical="center" wrapText="1"/>
    </xf>
    <xf numFmtId="0" fontId="21" fillId="8" borderId="2" xfId="2" applyFont="1" applyFill="1" applyBorder="1" applyAlignment="1">
      <alignment horizontal="center" vertical="center" wrapText="1"/>
    </xf>
    <xf numFmtId="0" fontId="21" fillId="8" borderId="12" xfId="2" applyFont="1" applyFill="1" applyBorder="1" applyAlignment="1">
      <alignment horizontal="center" vertical="center" wrapText="1"/>
    </xf>
    <xf numFmtId="0" fontId="21" fillId="8" borderId="25" xfId="2" applyFont="1" applyFill="1" applyBorder="1" applyAlignment="1">
      <alignment horizontal="center" vertical="center" wrapText="1"/>
    </xf>
    <xf numFmtId="0" fontId="21" fillId="8" borderId="34" xfId="2" applyFont="1" applyFill="1" applyBorder="1" applyAlignment="1">
      <alignment horizontal="center" vertical="center" wrapText="1"/>
    </xf>
    <xf numFmtId="0" fontId="21" fillId="0" borderId="21" xfId="2" applyFont="1" applyBorder="1" applyAlignment="1">
      <alignment horizontal="center" vertical="center" wrapText="1"/>
    </xf>
    <xf numFmtId="0" fontId="21" fillId="0" borderId="7" xfId="2" applyFont="1" applyBorder="1" applyAlignment="1">
      <alignment horizontal="center" vertical="center" wrapText="1"/>
    </xf>
    <xf numFmtId="0" fontId="21" fillId="0" borderId="12" xfId="2" applyFont="1" applyBorder="1" applyAlignment="1">
      <alignment horizontal="center" vertical="center"/>
    </xf>
    <xf numFmtId="0" fontId="21" fillId="0" borderId="25" xfId="2" applyFont="1" applyBorder="1" applyAlignment="1">
      <alignment horizontal="center" vertical="center"/>
    </xf>
    <xf numFmtId="0" fontId="21" fillId="0" borderId="8" xfId="2" applyFont="1" applyBorder="1" applyAlignment="1">
      <alignment horizontal="center" vertical="center"/>
    </xf>
    <xf numFmtId="0" fontId="21" fillId="0" borderId="12" xfId="2" applyFont="1" applyBorder="1" applyAlignment="1">
      <alignment horizontal="center" vertical="center" wrapText="1"/>
    </xf>
    <xf numFmtId="0" fontId="21" fillId="0" borderId="25" xfId="2" applyFont="1" applyBorder="1" applyAlignment="1">
      <alignment horizontal="center" vertical="center" wrapText="1"/>
    </xf>
    <xf numFmtId="0" fontId="21" fillId="0" borderId="8" xfId="2" applyFont="1" applyBorder="1" applyAlignment="1">
      <alignment horizontal="center" vertical="center" wrapText="1"/>
    </xf>
    <xf numFmtId="0" fontId="16" fillId="5" borderId="15" xfId="2" applyFont="1" applyFill="1" applyBorder="1" applyAlignment="1">
      <alignment horizontal="left" vertical="center" indent="2"/>
    </xf>
    <xf numFmtId="0" fontId="16" fillId="5" borderId="16" xfId="2" applyFont="1" applyFill="1" applyBorder="1" applyAlignment="1">
      <alignment horizontal="left" vertical="center" indent="2"/>
    </xf>
    <xf numFmtId="0" fontId="16" fillId="5" borderId="17" xfId="2" applyFont="1" applyFill="1" applyBorder="1" applyAlignment="1">
      <alignment horizontal="left" vertical="center" indent="2"/>
    </xf>
    <xf numFmtId="0" fontId="20" fillId="6" borderId="3" xfId="2" applyFont="1" applyFill="1" applyBorder="1" applyAlignment="1">
      <alignment horizontal="center" vertical="center"/>
    </xf>
    <xf numFmtId="0" fontId="20" fillId="6" borderId="4" xfId="2" applyFont="1" applyFill="1" applyBorder="1" applyAlignment="1">
      <alignment horizontal="center" vertical="center"/>
    </xf>
    <xf numFmtId="0" fontId="21" fillId="7" borderId="18" xfId="2" applyFont="1" applyFill="1" applyBorder="1" applyAlignment="1">
      <alignment horizontal="center" vertical="center" wrapText="1"/>
    </xf>
    <xf numFmtId="0" fontId="21" fillId="7" borderId="21" xfId="2" applyFont="1" applyFill="1" applyBorder="1" applyAlignment="1">
      <alignment horizontal="center" vertical="center" wrapText="1"/>
    </xf>
    <xf numFmtId="0" fontId="21" fillId="7" borderId="7" xfId="2" applyFont="1" applyFill="1" applyBorder="1" applyAlignment="1">
      <alignment horizontal="center" vertical="center" wrapText="1"/>
    </xf>
    <xf numFmtId="0" fontId="22" fillId="7" borderId="0" xfId="2" applyFont="1" applyFill="1" applyAlignment="1">
      <alignment horizontal="center" vertical="center"/>
    </xf>
    <xf numFmtId="0" fontId="22" fillId="7" borderId="19" xfId="2" applyFont="1" applyFill="1" applyBorder="1" applyAlignment="1">
      <alignment horizontal="center" vertical="center"/>
    </xf>
    <xf numFmtId="0" fontId="22" fillId="7" borderId="23" xfId="2" applyFont="1" applyFill="1" applyBorder="1" applyAlignment="1">
      <alignment horizontal="center" vertical="center"/>
    </xf>
    <xf numFmtId="0" fontId="22" fillId="7" borderId="24" xfId="2" applyFont="1" applyFill="1" applyBorder="1" applyAlignment="1">
      <alignment horizontal="center" vertical="center"/>
    </xf>
    <xf numFmtId="0" fontId="21" fillId="7" borderId="12" xfId="2" applyFont="1" applyFill="1" applyBorder="1" applyAlignment="1">
      <alignment horizontal="center" vertical="center"/>
    </xf>
    <xf numFmtId="0" fontId="21" fillId="7" borderId="25" xfId="2" applyFont="1" applyFill="1" applyBorder="1" applyAlignment="1">
      <alignment horizontal="center" vertical="center"/>
    </xf>
    <xf numFmtId="0" fontId="21" fillId="7" borderId="8" xfId="2" applyFont="1" applyFill="1" applyBorder="1" applyAlignment="1">
      <alignment horizontal="center" vertical="center"/>
    </xf>
    <xf numFmtId="0" fontId="21" fillId="7" borderId="12" xfId="2" quotePrefix="1" applyFont="1" applyFill="1" applyBorder="1" applyAlignment="1">
      <alignment horizontal="center" vertical="center"/>
    </xf>
    <xf numFmtId="0" fontId="21" fillId="7" borderId="8" xfId="2" quotePrefix="1" applyFont="1" applyFill="1" applyBorder="1" applyAlignment="1">
      <alignment horizontal="center" vertical="center"/>
    </xf>
    <xf numFmtId="0" fontId="2" fillId="0" borderId="0" xfId="0" applyFont="1" applyAlignment="1">
      <alignment horizontal="left" vertical="center" wrapText="1"/>
    </xf>
    <xf numFmtId="0" fontId="31" fillId="0" borderId="0" xfId="0" quotePrefix="1" applyFont="1" applyBorder="1" applyAlignment="1">
      <alignment horizontal="left" vertical="center" wrapText="1"/>
    </xf>
  </cellXfs>
  <cellStyles count="3">
    <cellStyle name="메모" xfId="1" builtinId="10"/>
    <cellStyle name="표준" xfId="0" builtinId="0"/>
    <cellStyle name="표준 2" xfId="2" xr:uid="{F80AF326-0EA4-43A7-B0D3-81133BC1A482}"/>
  </cellStyles>
  <dxfs count="10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ill>
        <patternFill>
          <bgColor rgb="FFFFC000"/>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9E23E0-9CB7-4AD3-8457-D1A98D71D823}">
  <sheetPr>
    <pageSetUpPr fitToPage="1"/>
  </sheetPr>
  <dimension ref="B1:E36"/>
  <sheetViews>
    <sheetView zoomScale="85" zoomScaleNormal="85" workbookViewId="0">
      <selection activeCell="I10" sqref="I10"/>
    </sheetView>
  </sheetViews>
  <sheetFormatPr defaultRowHeight="16.5" x14ac:dyDescent="0.3"/>
  <cols>
    <col min="1" max="1" width="2.625" style="14" customWidth="1"/>
    <col min="2" max="4" width="9.625" style="14" customWidth="1"/>
    <col min="5" max="5" width="130.75" style="14" bestFit="1" customWidth="1"/>
    <col min="6" max="16384" width="9" style="14"/>
  </cols>
  <sheetData>
    <row r="1" spans="2:5" ht="9.9499999999999993" customHeight="1" thickBot="1" x14ac:dyDescent="0.35"/>
    <row r="2" spans="2:5" ht="39.950000000000003" customHeight="1" thickBot="1" x14ac:dyDescent="0.35">
      <c r="B2" s="139" t="s">
        <v>42</v>
      </c>
      <c r="C2" s="140"/>
      <c r="D2" s="140"/>
      <c r="E2" s="141"/>
    </row>
    <row r="3" spans="2:5" s="17" customFormat="1" ht="9.9499999999999993" customHeight="1" x14ac:dyDescent="0.3">
      <c r="B3" s="15"/>
      <c r="C3" s="15"/>
      <c r="D3" s="15"/>
      <c r="E3" s="16"/>
    </row>
    <row r="4" spans="2:5" s="17" customFormat="1" ht="20.100000000000001" customHeight="1" thickBot="1" x14ac:dyDescent="0.35">
      <c r="B4" s="15"/>
      <c r="C4" s="15"/>
      <c r="D4" s="15"/>
      <c r="E4" s="16" t="s">
        <v>166</v>
      </c>
    </row>
    <row r="5" spans="2:5" s="19" customFormat="1" ht="30" customHeight="1" thickBot="1" x14ac:dyDescent="0.35">
      <c r="B5" s="142" t="s">
        <v>43</v>
      </c>
      <c r="C5" s="143"/>
      <c r="D5" s="143"/>
      <c r="E5" s="18" t="s">
        <v>44</v>
      </c>
    </row>
    <row r="6" spans="2:5" ht="27" customHeight="1" thickTop="1" x14ac:dyDescent="0.3">
      <c r="B6" s="144" t="s">
        <v>45</v>
      </c>
      <c r="C6" s="147" t="s">
        <v>46</v>
      </c>
      <c r="D6" s="148"/>
      <c r="E6" s="20" t="s">
        <v>47</v>
      </c>
    </row>
    <row r="7" spans="2:5" ht="27" customHeight="1" x14ac:dyDescent="0.3">
      <c r="B7" s="145"/>
      <c r="C7" s="147"/>
      <c r="D7" s="148"/>
      <c r="E7" s="21" t="s">
        <v>48</v>
      </c>
    </row>
    <row r="8" spans="2:5" ht="27" customHeight="1" x14ac:dyDescent="0.3">
      <c r="B8" s="145"/>
      <c r="C8" s="149"/>
      <c r="D8" s="150"/>
      <c r="E8" s="22" t="s">
        <v>49</v>
      </c>
    </row>
    <row r="9" spans="2:5" ht="27" customHeight="1" x14ac:dyDescent="0.3">
      <c r="B9" s="145"/>
      <c r="C9" s="151" t="s">
        <v>50</v>
      </c>
      <c r="D9" s="23" t="s">
        <v>51</v>
      </c>
      <c r="E9" s="24" t="s">
        <v>52</v>
      </c>
    </row>
    <row r="10" spans="2:5" ht="27" customHeight="1" x14ac:dyDescent="0.3">
      <c r="B10" s="145"/>
      <c r="C10" s="152"/>
      <c r="D10" s="154" t="s">
        <v>53</v>
      </c>
      <c r="E10" s="25" t="s">
        <v>54</v>
      </c>
    </row>
    <row r="11" spans="2:5" ht="42.75" customHeight="1" x14ac:dyDescent="0.3">
      <c r="B11" s="145"/>
      <c r="C11" s="152"/>
      <c r="D11" s="155"/>
      <c r="E11" s="25" t="s">
        <v>171</v>
      </c>
    </row>
    <row r="12" spans="2:5" ht="27" customHeight="1" x14ac:dyDescent="0.3">
      <c r="B12" s="146"/>
      <c r="C12" s="153"/>
      <c r="D12" s="26" t="s">
        <v>55</v>
      </c>
      <c r="E12" s="25" t="s">
        <v>56</v>
      </c>
    </row>
    <row r="13" spans="2:5" ht="27" customHeight="1" x14ac:dyDescent="0.3">
      <c r="B13" s="131" t="s">
        <v>57</v>
      </c>
      <c r="C13" s="133" t="s">
        <v>58</v>
      </c>
      <c r="D13" s="27" t="s">
        <v>59</v>
      </c>
      <c r="E13" s="28" t="s">
        <v>60</v>
      </c>
    </row>
    <row r="14" spans="2:5" ht="27" customHeight="1" x14ac:dyDescent="0.3">
      <c r="B14" s="131"/>
      <c r="C14" s="134"/>
      <c r="D14" s="136" t="s">
        <v>61</v>
      </c>
      <c r="E14" s="29" t="s">
        <v>62</v>
      </c>
    </row>
    <row r="15" spans="2:5" ht="27" customHeight="1" x14ac:dyDescent="0.3">
      <c r="B15" s="131"/>
      <c r="C15" s="134"/>
      <c r="D15" s="137"/>
      <c r="E15" s="30" t="s">
        <v>63</v>
      </c>
    </row>
    <row r="16" spans="2:5" ht="27" customHeight="1" x14ac:dyDescent="0.3">
      <c r="B16" s="131"/>
      <c r="C16" s="134"/>
      <c r="D16" s="137"/>
      <c r="E16" s="31" t="s">
        <v>64</v>
      </c>
    </row>
    <row r="17" spans="2:5" ht="27" customHeight="1" x14ac:dyDescent="0.3">
      <c r="B17" s="131"/>
      <c r="C17" s="134"/>
      <c r="D17" s="137"/>
      <c r="E17" s="32" t="s">
        <v>170</v>
      </c>
    </row>
    <row r="18" spans="2:5" ht="27" customHeight="1" x14ac:dyDescent="0.3">
      <c r="B18" s="131"/>
      <c r="C18" s="134"/>
      <c r="D18" s="138"/>
      <c r="E18" s="61" t="s">
        <v>173</v>
      </c>
    </row>
    <row r="19" spans="2:5" ht="27" customHeight="1" x14ac:dyDescent="0.3">
      <c r="B19" s="131"/>
      <c r="C19" s="134"/>
      <c r="D19" s="136" t="s">
        <v>65</v>
      </c>
      <c r="E19" s="29" t="s">
        <v>66</v>
      </c>
    </row>
    <row r="20" spans="2:5" ht="27" customHeight="1" x14ac:dyDescent="0.3">
      <c r="B20" s="131"/>
      <c r="C20" s="134"/>
      <c r="D20" s="137"/>
      <c r="E20" s="30" t="s">
        <v>67</v>
      </c>
    </row>
    <row r="21" spans="2:5" ht="27" customHeight="1" x14ac:dyDescent="0.3">
      <c r="B21" s="131"/>
      <c r="C21" s="134"/>
      <c r="D21" s="138"/>
      <c r="E21" s="31" t="s">
        <v>68</v>
      </c>
    </row>
    <row r="22" spans="2:5" ht="27" customHeight="1" x14ac:dyDescent="0.3">
      <c r="B22" s="131"/>
      <c r="C22" s="134"/>
      <c r="D22" s="27" t="s">
        <v>69</v>
      </c>
      <c r="E22" s="28" t="s">
        <v>70</v>
      </c>
    </row>
    <row r="23" spans="2:5" ht="27" customHeight="1" x14ac:dyDescent="0.3">
      <c r="B23" s="131"/>
      <c r="C23" s="134"/>
      <c r="D23" s="27" t="s">
        <v>71</v>
      </c>
      <c r="E23" s="28" t="s">
        <v>72</v>
      </c>
    </row>
    <row r="24" spans="2:5" ht="27" customHeight="1" x14ac:dyDescent="0.3">
      <c r="B24" s="131"/>
      <c r="C24" s="134"/>
      <c r="D24" s="136" t="s">
        <v>73</v>
      </c>
      <c r="E24" s="29" t="s">
        <v>74</v>
      </c>
    </row>
    <row r="25" spans="2:5" ht="27" customHeight="1" x14ac:dyDescent="0.3">
      <c r="B25" s="131"/>
      <c r="C25" s="134"/>
      <c r="D25" s="137"/>
      <c r="E25" s="33" t="s">
        <v>75</v>
      </c>
    </row>
    <row r="26" spans="2:5" ht="27" customHeight="1" x14ac:dyDescent="0.3">
      <c r="B26" s="131"/>
      <c r="C26" s="134"/>
      <c r="D26" s="27" t="s">
        <v>76</v>
      </c>
      <c r="E26" s="28" t="s">
        <v>77</v>
      </c>
    </row>
    <row r="27" spans="2:5" ht="27" customHeight="1" x14ac:dyDescent="0.3">
      <c r="B27" s="131"/>
      <c r="C27" s="134"/>
      <c r="D27" s="136" t="s">
        <v>78</v>
      </c>
      <c r="E27" s="29" t="s">
        <v>79</v>
      </c>
    </row>
    <row r="28" spans="2:5" ht="27" customHeight="1" x14ac:dyDescent="0.3">
      <c r="B28" s="131"/>
      <c r="C28" s="134"/>
      <c r="D28" s="137"/>
      <c r="E28" s="34" t="s">
        <v>80</v>
      </c>
    </row>
    <row r="29" spans="2:5" ht="27" customHeight="1" x14ac:dyDescent="0.3">
      <c r="B29" s="131"/>
      <c r="C29" s="134"/>
      <c r="D29" s="136" t="s">
        <v>81</v>
      </c>
      <c r="E29" s="29" t="s">
        <v>82</v>
      </c>
    </row>
    <row r="30" spans="2:5" ht="27" customHeight="1" x14ac:dyDescent="0.3">
      <c r="B30" s="132"/>
      <c r="C30" s="135"/>
      <c r="D30" s="138"/>
      <c r="E30" s="35" t="s">
        <v>83</v>
      </c>
    </row>
    <row r="31" spans="2:5" ht="27" customHeight="1" x14ac:dyDescent="0.3">
      <c r="B31" s="122" t="s">
        <v>84</v>
      </c>
      <c r="C31" s="123"/>
      <c r="D31" s="36" t="s">
        <v>85</v>
      </c>
      <c r="E31" s="37" t="s">
        <v>86</v>
      </c>
    </row>
    <row r="32" spans="2:5" ht="27" customHeight="1" x14ac:dyDescent="0.3">
      <c r="B32" s="124"/>
      <c r="C32" s="125"/>
      <c r="D32" s="38" t="s">
        <v>87</v>
      </c>
      <c r="E32" s="37" t="s">
        <v>88</v>
      </c>
    </row>
    <row r="33" spans="2:5" ht="27" customHeight="1" x14ac:dyDescent="0.3">
      <c r="B33" s="124"/>
      <c r="C33" s="125"/>
      <c r="D33" s="128" t="s">
        <v>89</v>
      </c>
      <c r="E33" s="39" t="s">
        <v>90</v>
      </c>
    </row>
    <row r="34" spans="2:5" ht="27" customHeight="1" x14ac:dyDescent="0.3">
      <c r="B34" s="124"/>
      <c r="C34" s="125"/>
      <c r="D34" s="129"/>
      <c r="E34" s="40" t="s">
        <v>91</v>
      </c>
    </row>
    <row r="35" spans="2:5" ht="27" customHeight="1" x14ac:dyDescent="0.3">
      <c r="B35" s="124"/>
      <c r="C35" s="125"/>
      <c r="D35" s="129"/>
      <c r="E35" s="40" t="s">
        <v>92</v>
      </c>
    </row>
    <row r="36" spans="2:5" ht="27" customHeight="1" thickBot="1" x14ac:dyDescent="0.35">
      <c r="B36" s="126"/>
      <c r="C36" s="127"/>
      <c r="D36" s="130"/>
      <c r="E36" s="41" t="s">
        <v>93</v>
      </c>
    </row>
  </sheetData>
  <mergeCells count="15">
    <mergeCell ref="B2:E2"/>
    <mergeCell ref="B5:D5"/>
    <mergeCell ref="B6:B12"/>
    <mergeCell ref="C6:D8"/>
    <mergeCell ref="C9:C12"/>
    <mergeCell ref="D10:D11"/>
    <mergeCell ref="B31:C36"/>
    <mergeCell ref="D33:D36"/>
    <mergeCell ref="B13:B30"/>
    <mergeCell ref="C13:C30"/>
    <mergeCell ref="D14:D18"/>
    <mergeCell ref="D19:D21"/>
    <mergeCell ref="D24:D25"/>
    <mergeCell ref="D27:D28"/>
    <mergeCell ref="D29:D30"/>
  </mergeCells>
  <phoneticPr fontId="4" type="noConversion"/>
  <pageMargins left="0.25" right="0.25" top="0.75" bottom="0.75" header="0.3" footer="0.3"/>
  <pageSetup paperSize="9" scale="57"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EEE126-EE03-4797-9589-CE548DB5E78C}">
  <sheetPr>
    <tabColor theme="4"/>
    <pageSetUpPr fitToPage="1"/>
  </sheetPr>
  <dimension ref="A1:Q214"/>
  <sheetViews>
    <sheetView tabSelected="1" zoomScale="80" zoomScaleNormal="80" zoomScaleSheetLayoutView="75" workbookViewId="0">
      <pane xSplit="7" ySplit="5" topLeftCell="H67" activePane="bottomRight" state="frozen"/>
      <selection pane="topRight"/>
      <selection pane="bottomLeft"/>
      <selection pane="bottomRight" activeCell="L69" sqref="L69"/>
    </sheetView>
  </sheetViews>
  <sheetFormatPr defaultColWidth="9" defaultRowHeight="17.25" x14ac:dyDescent="0.3"/>
  <cols>
    <col min="1" max="1" width="1.625" style="1" customWidth="1"/>
    <col min="2" max="3" width="6.875" style="1" customWidth="1"/>
    <col min="4" max="4" width="8.25" style="1" customWidth="1"/>
    <col min="5" max="5" width="18.625" style="1" customWidth="1"/>
    <col min="6" max="6" width="9.875" style="1" bestFit="1" customWidth="1"/>
    <col min="7" max="7" width="28.625" style="2" customWidth="1"/>
    <col min="8" max="8" width="50.625" style="2" customWidth="1"/>
    <col min="9" max="10" width="11.625" style="1" customWidth="1"/>
    <col min="11" max="11" width="8.25" style="1" customWidth="1"/>
    <col min="12" max="12" width="61.375" style="1" customWidth="1"/>
    <col min="13" max="13" width="15" style="1" customWidth="1"/>
    <col min="14" max="14" width="18" style="1" customWidth="1"/>
    <col min="15" max="15" width="26.25" style="3" customWidth="1"/>
    <col min="16" max="16" width="71.5" style="1" customWidth="1"/>
    <col min="17" max="17" width="72" style="1" customWidth="1"/>
    <col min="18" max="16384" width="9" style="1"/>
  </cols>
  <sheetData>
    <row r="1" spans="1:17" ht="15" customHeight="1" x14ac:dyDescent="0.3"/>
    <row r="2" spans="1:17" ht="74.25" customHeight="1" x14ac:dyDescent="0.3">
      <c r="B2" s="4" t="s">
        <v>174</v>
      </c>
      <c r="H2" s="5"/>
      <c r="I2" s="156"/>
      <c r="J2" s="156"/>
      <c r="L2" s="157"/>
      <c r="M2" s="157"/>
      <c r="N2" s="157"/>
      <c r="O2" s="7"/>
      <c r="P2" s="6"/>
      <c r="Q2" s="7"/>
    </row>
    <row r="3" spans="1:17" ht="18" thickBot="1" x14ac:dyDescent="0.35">
      <c r="I3" s="1">
        <v>2026</v>
      </c>
      <c r="J3" s="1">
        <v>2026</v>
      </c>
      <c r="K3" s="43"/>
      <c r="P3" s="8"/>
      <c r="Q3" s="8"/>
    </row>
    <row r="4" spans="1:17" s="9" customFormat="1" ht="27.75" thickBot="1" x14ac:dyDescent="0.35">
      <c r="B4" s="10" t="s">
        <v>0</v>
      </c>
      <c r="C4" s="11" t="s">
        <v>1</v>
      </c>
      <c r="D4" s="11" t="s">
        <v>2</v>
      </c>
      <c r="E4" s="11" t="s">
        <v>3</v>
      </c>
      <c r="F4" s="11" t="s">
        <v>4</v>
      </c>
      <c r="G4" s="11" t="s">
        <v>5</v>
      </c>
      <c r="H4" s="11" t="s">
        <v>6</v>
      </c>
      <c r="I4" s="11" t="s">
        <v>7</v>
      </c>
      <c r="J4" s="11" t="s">
        <v>8</v>
      </c>
      <c r="K4" s="42" t="s">
        <v>486</v>
      </c>
      <c r="L4" s="12" t="s">
        <v>169</v>
      </c>
      <c r="M4" s="11" t="s">
        <v>9</v>
      </c>
      <c r="N4" s="12" t="s">
        <v>10</v>
      </c>
      <c r="O4" s="12" t="s">
        <v>11</v>
      </c>
      <c r="P4" s="11" t="s">
        <v>12</v>
      </c>
      <c r="Q4" s="13" t="s">
        <v>13</v>
      </c>
    </row>
    <row r="5" spans="1:17" s="5" customFormat="1" ht="24" customHeight="1" thickTop="1" x14ac:dyDescent="0.3">
      <c r="B5" s="99"/>
      <c r="C5" s="100"/>
      <c r="D5" s="100"/>
      <c r="E5" s="100"/>
      <c r="F5" s="100" t="s">
        <v>902</v>
      </c>
      <c r="G5" s="100" t="str">
        <f>COUNTA(G6:G134)&amp;"개 대학"</f>
        <v>129개 대학</v>
      </c>
      <c r="H5" s="100"/>
      <c r="I5" s="100"/>
      <c r="J5" s="100"/>
      <c r="K5" s="101" t="str">
        <f>SUM(K6:K134)&amp;"명"</f>
        <v>404명</v>
      </c>
      <c r="L5" s="101"/>
      <c r="M5" s="100"/>
      <c r="N5" s="101"/>
      <c r="O5" s="101"/>
      <c r="P5" s="100"/>
      <c r="Q5" s="102"/>
    </row>
    <row r="6" spans="1:17" s="59" customFormat="1" ht="166.5" customHeight="1" x14ac:dyDescent="0.3">
      <c r="A6" s="58"/>
      <c r="B6" s="104">
        <f>ROW()-5</f>
        <v>1</v>
      </c>
      <c r="C6" s="62" t="s">
        <v>14</v>
      </c>
      <c r="D6" s="62" t="s">
        <v>15</v>
      </c>
      <c r="E6" s="62" t="s">
        <v>16</v>
      </c>
      <c r="F6" s="63" t="s">
        <v>17</v>
      </c>
      <c r="G6" s="64" t="s">
        <v>175</v>
      </c>
      <c r="H6" s="64" t="s">
        <v>176</v>
      </c>
      <c r="I6" s="65">
        <v>283</v>
      </c>
      <c r="J6" s="65">
        <v>154</v>
      </c>
      <c r="K6" s="51">
        <v>2</v>
      </c>
      <c r="L6" s="66" t="s">
        <v>487</v>
      </c>
      <c r="M6" s="65" t="s">
        <v>18</v>
      </c>
      <c r="N6" s="65" t="s">
        <v>19</v>
      </c>
      <c r="O6" s="66" t="s">
        <v>602</v>
      </c>
      <c r="P6" s="67" t="s">
        <v>603</v>
      </c>
      <c r="Q6" s="105" t="s">
        <v>604</v>
      </c>
    </row>
    <row r="7" spans="1:17" s="59" customFormat="1" ht="108" x14ac:dyDescent="0.3">
      <c r="A7" s="58"/>
      <c r="B7" s="104">
        <f t="shared" ref="B7:B70" si="0">ROW()-5</f>
        <v>2</v>
      </c>
      <c r="C7" s="44" t="s">
        <v>14</v>
      </c>
      <c r="D7" s="44" t="s">
        <v>15</v>
      </c>
      <c r="E7" s="44" t="s">
        <v>16</v>
      </c>
      <c r="F7" s="53" t="s">
        <v>17</v>
      </c>
      <c r="G7" s="45" t="s">
        <v>94</v>
      </c>
      <c r="H7" s="45" t="s">
        <v>177</v>
      </c>
      <c r="I7" s="46">
        <v>119</v>
      </c>
      <c r="J7" s="46">
        <v>70</v>
      </c>
      <c r="K7" s="51">
        <v>3</v>
      </c>
      <c r="L7" s="47" t="s">
        <v>124</v>
      </c>
      <c r="M7" s="46" t="s">
        <v>18</v>
      </c>
      <c r="N7" s="46" t="s">
        <v>19</v>
      </c>
      <c r="O7" s="47" t="s">
        <v>20</v>
      </c>
      <c r="P7" s="48" t="s">
        <v>125</v>
      </c>
      <c r="Q7" s="55" t="s">
        <v>126</v>
      </c>
    </row>
    <row r="8" spans="1:17" s="59" customFormat="1" ht="94.5" x14ac:dyDescent="0.3">
      <c r="A8" s="58"/>
      <c r="B8" s="104">
        <f t="shared" si="0"/>
        <v>3</v>
      </c>
      <c r="C8" s="62" t="s">
        <v>14</v>
      </c>
      <c r="D8" s="62" t="s">
        <v>15</v>
      </c>
      <c r="E8" s="62" t="s">
        <v>16</v>
      </c>
      <c r="F8" s="63" t="s">
        <v>17</v>
      </c>
      <c r="G8" s="64" t="s">
        <v>178</v>
      </c>
      <c r="H8" s="64" t="s">
        <v>179</v>
      </c>
      <c r="I8" s="65" t="s">
        <v>454</v>
      </c>
      <c r="J8" s="65" t="s">
        <v>454</v>
      </c>
      <c r="K8" s="52">
        <v>2</v>
      </c>
      <c r="L8" s="66" t="s">
        <v>488</v>
      </c>
      <c r="M8" s="65" t="s">
        <v>18</v>
      </c>
      <c r="N8" s="65" t="s">
        <v>19</v>
      </c>
      <c r="O8" s="66" t="s">
        <v>605</v>
      </c>
      <c r="P8" s="66" t="s">
        <v>606</v>
      </c>
      <c r="Q8" s="75" t="s">
        <v>607</v>
      </c>
    </row>
    <row r="9" spans="1:17" s="59" customFormat="1" ht="94.5" x14ac:dyDescent="0.3">
      <c r="A9" s="58"/>
      <c r="B9" s="104">
        <f t="shared" si="0"/>
        <v>4</v>
      </c>
      <c r="C9" s="44" t="s">
        <v>14</v>
      </c>
      <c r="D9" s="44" t="s">
        <v>15</v>
      </c>
      <c r="E9" s="44" t="s">
        <v>16</v>
      </c>
      <c r="F9" s="53" t="s">
        <v>17</v>
      </c>
      <c r="G9" s="45" t="s">
        <v>180</v>
      </c>
      <c r="H9" s="45" t="s">
        <v>181</v>
      </c>
      <c r="I9" s="46">
        <v>223</v>
      </c>
      <c r="J9" s="46">
        <v>190</v>
      </c>
      <c r="K9" s="51">
        <v>6</v>
      </c>
      <c r="L9" s="47" t="s">
        <v>127</v>
      </c>
      <c r="M9" s="46" t="s">
        <v>18</v>
      </c>
      <c r="N9" s="46" t="s">
        <v>19</v>
      </c>
      <c r="O9" s="47" t="s">
        <v>20</v>
      </c>
      <c r="P9" s="48" t="s">
        <v>128</v>
      </c>
      <c r="Q9" s="55" t="s">
        <v>129</v>
      </c>
    </row>
    <row r="10" spans="1:17" s="59" customFormat="1" ht="148.5" x14ac:dyDescent="0.3">
      <c r="A10" s="58"/>
      <c r="B10" s="104">
        <f t="shared" si="0"/>
        <v>5</v>
      </c>
      <c r="C10" s="62" t="s">
        <v>14</v>
      </c>
      <c r="D10" s="62" t="s">
        <v>15</v>
      </c>
      <c r="E10" s="62" t="s">
        <v>16</v>
      </c>
      <c r="F10" s="63" t="s">
        <v>17</v>
      </c>
      <c r="G10" s="64" t="s">
        <v>182</v>
      </c>
      <c r="H10" s="64" t="s">
        <v>183</v>
      </c>
      <c r="I10" s="65">
        <v>157</v>
      </c>
      <c r="J10" s="65">
        <v>82</v>
      </c>
      <c r="K10" s="51">
        <v>2</v>
      </c>
      <c r="L10" s="66" t="s">
        <v>489</v>
      </c>
      <c r="M10" s="65" t="s">
        <v>18</v>
      </c>
      <c r="N10" s="65" t="s">
        <v>19</v>
      </c>
      <c r="O10" s="66" t="s">
        <v>608</v>
      </c>
      <c r="P10" s="66" t="s">
        <v>609</v>
      </c>
      <c r="Q10" s="75" t="s">
        <v>610</v>
      </c>
    </row>
    <row r="11" spans="1:17" s="59" customFormat="1" ht="121.5" x14ac:dyDescent="0.3">
      <c r="A11" s="58"/>
      <c r="B11" s="104">
        <f t="shared" si="0"/>
        <v>6</v>
      </c>
      <c r="C11" s="62" t="s">
        <v>14</v>
      </c>
      <c r="D11" s="62" t="s">
        <v>15</v>
      </c>
      <c r="E11" s="62" t="s">
        <v>16</v>
      </c>
      <c r="F11" s="63" t="s">
        <v>184</v>
      </c>
      <c r="G11" s="64" t="s">
        <v>185</v>
      </c>
      <c r="H11" s="64" t="s">
        <v>186</v>
      </c>
      <c r="I11" s="65">
        <v>264</v>
      </c>
      <c r="J11" s="65" t="s">
        <v>455</v>
      </c>
      <c r="K11" s="51">
        <v>5</v>
      </c>
      <c r="L11" s="69" t="s">
        <v>490</v>
      </c>
      <c r="M11" s="65" t="s">
        <v>18</v>
      </c>
      <c r="N11" s="65" t="s">
        <v>19</v>
      </c>
      <c r="O11" s="66" t="s">
        <v>611</v>
      </c>
      <c r="P11" s="66" t="s">
        <v>612</v>
      </c>
      <c r="Q11" s="75" t="s">
        <v>613</v>
      </c>
    </row>
    <row r="12" spans="1:17" s="59" customFormat="1" ht="54" x14ac:dyDescent="0.3">
      <c r="A12" s="58"/>
      <c r="B12" s="104">
        <f t="shared" si="0"/>
        <v>7</v>
      </c>
      <c r="C12" s="62" t="s">
        <v>14</v>
      </c>
      <c r="D12" s="62" t="s">
        <v>15</v>
      </c>
      <c r="E12" s="62" t="s">
        <v>16</v>
      </c>
      <c r="F12" s="63" t="s">
        <v>184</v>
      </c>
      <c r="G12" s="64" t="s">
        <v>187</v>
      </c>
      <c r="H12" s="64" t="s">
        <v>188</v>
      </c>
      <c r="I12" s="65" t="s">
        <v>454</v>
      </c>
      <c r="J12" s="65" t="s">
        <v>454</v>
      </c>
      <c r="K12" s="51">
        <v>2</v>
      </c>
      <c r="L12" s="66" t="s">
        <v>491</v>
      </c>
      <c r="M12" s="65" t="s">
        <v>18</v>
      </c>
      <c r="N12" s="65" t="s">
        <v>19</v>
      </c>
      <c r="O12" s="66" t="s">
        <v>611</v>
      </c>
      <c r="P12" s="66" t="s">
        <v>614</v>
      </c>
      <c r="Q12" s="75" t="s">
        <v>615</v>
      </c>
    </row>
    <row r="13" spans="1:17" s="59" customFormat="1" ht="94.5" x14ac:dyDescent="0.3">
      <c r="A13" s="58"/>
      <c r="B13" s="104">
        <f t="shared" si="0"/>
        <v>8</v>
      </c>
      <c r="C13" s="62" t="s">
        <v>14</v>
      </c>
      <c r="D13" s="62" t="s">
        <v>15</v>
      </c>
      <c r="E13" s="62" t="s">
        <v>16</v>
      </c>
      <c r="F13" s="63" t="s">
        <v>184</v>
      </c>
      <c r="G13" s="64" t="s">
        <v>189</v>
      </c>
      <c r="H13" s="64" t="s">
        <v>190</v>
      </c>
      <c r="I13" s="65" t="s">
        <v>454</v>
      </c>
      <c r="J13" s="65" t="s">
        <v>454</v>
      </c>
      <c r="K13" s="51">
        <v>5</v>
      </c>
      <c r="L13" s="66" t="s">
        <v>492</v>
      </c>
      <c r="M13" s="65" t="s">
        <v>616</v>
      </c>
      <c r="N13" s="65" t="s">
        <v>19</v>
      </c>
      <c r="O13" s="66" t="s">
        <v>611</v>
      </c>
      <c r="P13" s="66" t="s">
        <v>617</v>
      </c>
      <c r="Q13" s="75" t="s">
        <v>618</v>
      </c>
    </row>
    <row r="14" spans="1:17" s="59" customFormat="1" ht="135" x14ac:dyDescent="0.3">
      <c r="A14" s="58"/>
      <c r="B14" s="104">
        <f t="shared" si="0"/>
        <v>9</v>
      </c>
      <c r="C14" s="44" t="s">
        <v>14</v>
      </c>
      <c r="D14" s="44" t="s">
        <v>21</v>
      </c>
      <c r="E14" s="44" t="s">
        <v>22</v>
      </c>
      <c r="F14" s="53" t="s">
        <v>23</v>
      </c>
      <c r="G14" s="45" t="s">
        <v>106</v>
      </c>
      <c r="H14" s="45" t="s">
        <v>107</v>
      </c>
      <c r="I14" s="46">
        <v>54</v>
      </c>
      <c r="J14" s="46">
        <v>140</v>
      </c>
      <c r="K14" s="51">
        <v>2</v>
      </c>
      <c r="L14" s="47" t="s">
        <v>147</v>
      </c>
      <c r="M14" s="51" t="s">
        <v>40</v>
      </c>
      <c r="N14" s="46" t="s">
        <v>19</v>
      </c>
      <c r="O14" s="47" t="s">
        <v>148</v>
      </c>
      <c r="P14" s="48" t="s">
        <v>149</v>
      </c>
      <c r="Q14" s="55" t="s">
        <v>150</v>
      </c>
    </row>
    <row r="15" spans="1:17" s="59" customFormat="1" ht="231" x14ac:dyDescent="0.3">
      <c r="A15" s="58"/>
      <c r="B15" s="104">
        <f t="shared" si="0"/>
        <v>10</v>
      </c>
      <c r="C15" s="70" t="s">
        <v>14</v>
      </c>
      <c r="D15" s="70" t="s">
        <v>21</v>
      </c>
      <c r="E15" s="70" t="s">
        <v>22</v>
      </c>
      <c r="F15" s="71" t="s">
        <v>23</v>
      </c>
      <c r="G15" s="72" t="s">
        <v>191</v>
      </c>
      <c r="H15" s="72" t="s">
        <v>192</v>
      </c>
      <c r="I15" s="73">
        <v>423</v>
      </c>
      <c r="J15" s="73" t="s">
        <v>456</v>
      </c>
      <c r="K15" s="51">
        <v>2</v>
      </c>
      <c r="L15" s="69" t="s">
        <v>493</v>
      </c>
      <c r="M15" s="73" t="s">
        <v>18</v>
      </c>
      <c r="N15" s="73" t="s">
        <v>19</v>
      </c>
      <c r="O15" s="69" t="s">
        <v>619</v>
      </c>
      <c r="P15" s="69" t="s">
        <v>620</v>
      </c>
      <c r="Q15" s="106" t="s">
        <v>621</v>
      </c>
    </row>
    <row r="16" spans="1:17" s="59" customFormat="1" ht="121.5" x14ac:dyDescent="0.3">
      <c r="A16" s="58"/>
      <c r="B16" s="104">
        <f t="shared" si="0"/>
        <v>11</v>
      </c>
      <c r="C16" s="62" t="s">
        <v>14</v>
      </c>
      <c r="D16" s="62" t="s">
        <v>21</v>
      </c>
      <c r="E16" s="62" t="s">
        <v>16</v>
      </c>
      <c r="F16" s="63" t="s">
        <v>23</v>
      </c>
      <c r="G16" s="64" t="s">
        <v>193</v>
      </c>
      <c r="H16" s="64" t="s">
        <v>194</v>
      </c>
      <c r="I16" s="65">
        <v>177</v>
      </c>
      <c r="J16" s="65" t="s">
        <v>457</v>
      </c>
      <c r="K16" s="52">
        <v>1</v>
      </c>
      <c r="L16" s="74" t="s">
        <v>904</v>
      </c>
      <c r="M16" s="65" t="s">
        <v>24</v>
      </c>
      <c r="N16" s="65" t="s">
        <v>19</v>
      </c>
      <c r="O16" s="66" t="s">
        <v>622</v>
      </c>
      <c r="P16" s="66" t="s">
        <v>623</v>
      </c>
      <c r="Q16" s="75" t="s">
        <v>624</v>
      </c>
    </row>
    <row r="17" spans="1:17" s="59" customFormat="1" ht="148.5" x14ac:dyDescent="0.3">
      <c r="A17" s="58"/>
      <c r="B17" s="104">
        <f t="shared" si="0"/>
        <v>12</v>
      </c>
      <c r="C17" s="62" t="s">
        <v>14</v>
      </c>
      <c r="D17" s="62" t="s">
        <v>21</v>
      </c>
      <c r="E17" s="62" t="s">
        <v>22</v>
      </c>
      <c r="F17" s="63" t="s">
        <v>23</v>
      </c>
      <c r="G17" s="64" t="s">
        <v>195</v>
      </c>
      <c r="H17" s="64" t="s">
        <v>196</v>
      </c>
      <c r="I17" s="65">
        <v>613</v>
      </c>
      <c r="J17" s="65" t="s">
        <v>458</v>
      </c>
      <c r="K17" s="120">
        <v>5</v>
      </c>
      <c r="L17" s="66" t="s">
        <v>494</v>
      </c>
      <c r="M17" s="65" t="s">
        <v>24</v>
      </c>
      <c r="N17" s="65" t="s">
        <v>19</v>
      </c>
      <c r="O17" s="66" t="s">
        <v>625</v>
      </c>
      <c r="P17" s="66" t="s">
        <v>626</v>
      </c>
      <c r="Q17" s="75" t="s">
        <v>627</v>
      </c>
    </row>
    <row r="18" spans="1:17" s="59" customFormat="1" ht="81" x14ac:dyDescent="0.3">
      <c r="A18" s="58"/>
      <c r="B18" s="104">
        <f t="shared" si="0"/>
        <v>13</v>
      </c>
      <c r="C18" s="62" t="s">
        <v>95</v>
      </c>
      <c r="D18" s="62" t="s">
        <v>111</v>
      </c>
      <c r="E18" s="62" t="s">
        <v>22</v>
      </c>
      <c r="F18" s="63" t="s">
        <v>197</v>
      </c>
      <c r="G18" s="64" t="s">
        <v>198</v>
      </c>
      <c r="H18" s="64" t="s">
        <v>199</v>
      </c>
      <c r="I18" s="73">
        <v>438</v>
      </c>
      <c r="J18" s="73" t="s">
        <v>459</v>
      </c>
      <c r="K18" s="120">
        <v>5</v>
      </c>
      <c r="L18" s="66" t="s">
        <v>495</v>
      </c>
      <c r="M18" s="65" t="s">
        <v>18</v>
      </c>
      <c r="N18" s="65" t="s">
        <v>19</v>
      </c>
      <c r="O18" s="66" t="s">
        <v>20</v>
      </c>
      <c r="P18" s="66" t="s">
        <v>628</v>
      </c>
      <c r="Q18" s="75" t="s">
        <v>629</v>
      </c>
    </row>
    <row r="19" spans="1:17" s="59" customFormat="1" ht="310.5" x14ac:dyDescent="0.3">
      <c r="A19" s="58"/>
      <c r="B19" s="104">
        <f t="shared" si="0"/>
        <v>14</v>
      </c>
      <c r="C19" s="62" t="s">
        <v>14</v>
      </c>
      <c r="D19" s="62" t="s">
        <v>21</v>
      </c>
      <c r="E19" s="62" t="s">
        <v>22</v>
      </c>
      <c r="F19" s="63" t="s">
        <v>23</v>
      </c>
      <c r="G19" s="64" t="s">
        <v>200</v>
      </c>
      <c r="H19" s="64" t="s">
        <v>201</v>
      </c>
      <c r="I19" s="65">
        <v>191</v>
      </c>
      <c r="J19" s="65" t="s">
        <v>456</v>
      </c>
      <c r="K19" s="120">
        <v>2</v>
      </c>
      <c r="L19" s="74" t="s">
        <v>496</v>
      </c>
      <c r="M19" s="65" t="s">
        <v>18</v>
      </c>
      <c r="N19" s="65" t="s">
        <v>19</v>
      </c>
      <c r="O19" s="66" t="s">
        <v>619</v>
      </c>
      <c r="P19" s="66" t="s">
        <v>630</v>
      </c>
      <c r="Q19" s="75" t="s">
        <v>631</v>
      </c>
    </row>
    <row r="20" spans="1:17" s="59" customFormat="1" ht="121.5" x14ac:dyDescent="0.3">
      <c r="A20" s="58"/>
      <c r="B20" s="104">
        <f t="shared" si="0"/>
        <v>15</v>
      </c>
      <c r="C20" s="62" t="s">
        <v>14</v>
      </c>
      <c r="D20" s="62" t="s">
        <v>21</v>
      </c>
      <c r="E20" s="62" t="s">
        <v>22</v>
      </c>
      <c r="F20" s="63" t="s">
        <v>23</v>
      </c>
      <c r="G20" s="64" t="s">
        <v>202</v>
      </c>
      <c r="H20" s="64" t="s">
        <v>203</v>
      </c>
      <c r="I20" s="65" t="s">
        <v>454</v>
      </c>
      <c r="J20" s="65" t="s">
        <v>460</v>
      </c>
      <c r="K20" s="121">
        <v>2</v>
      </c>
      <c r="L20" s="69" t="s">
        <v>497</v>
      </c>
      <c r="M20" s="65" t="s">
        <v>24</v>
      </c>
      <c r="N20" s="65" t="s">
        <v>19</v>
      </c>
      <c r="O20" s="66" t="s">
        <v>632</v>
      </c>
      <c r="P20" s="66" t="s">
        <v>633</v>
      </c>
      <c r="Q20" s="107" t="s">
        <v>634</v>
      </c>
    </row>
    <row r="21" spans="1:17" s="76" customFormat="1" ht="81" x14ac:dyDescent="0.3">
      <c r="B21" s="104">
        <f t="shared" si="0"/>
        <v>16</v>
      </c>
      <c r="C21" s="44" t="s">
        <v>95</v>
      </c>
      <c r="D21" s="44" t="s">
        <v>96</v>
      </c>
      <c r="E21" s="44" t="s">
        <v>97</v>
      </c>
      <c r="F21" s="44" t="s">
        <v>98</v>
      </c>
      <c r="G21" s="49" t="s">
        <v>99</v>
      </c>
      <c r="H21" s="49" t="s">
        <v>100</v>
      </c>
      <c r="I21" s="44">
        <v>90</v>
      </c>
      <c r="J21" s="44">
        <v>90</v>
      </c>
      <c r="K21" s="103">
        <v>4</v>
      </c>
      <c r="L21" s="50" t="s">
        <v>172</v>
      </c>
      <c r="M21" s="44" t="s">
        <v>130</v>
      </c>
      <c r="N21" s="44" t="s">
        <v>131</v>
      </c>
      <c r="O21" s="47" t="s">
        <v>132</v>
      </c>
      <c r="P21" s="50" t="s">
        <v>133</v>
      </c>
      <c r="Q21" s="56" t="s">
        <v>134</v>
      </c>
    </row>
    <row r="22" spans="1:17" s="76" customFormat="1" ht="94.5" x14ac:dyDescent="0.3">
      <c r="B22" s="104">
        <f t="shared" si="0"/>
        <v>17</v>
      </c>
      <c r="C22" s="62" t="s">
        <v>14</v>
      </c>
      <c r="D22" s="62" t="s">
        <v>15</v>
      </c>
      <c r="E22" s="62" t="s">
        <v>25</v>
      </c>
      <c r="F22" s="63" t="s">
        <v>26</v>
      </c>
      <c r="G22" s="64" t="s">
        <v>204</v>
      </c>
      <c r="H22" s="64" t="s">
        <v>205</v>
      </c>
      <c r="I22" s="65">
        <v>250</v>
      </c>
      <c r="J22" s="65" t="s">
        <v>27</v>
      </c>
      <c r="K22" s="103">
        <v>5</v>
      </c>
      <c r="L22" s="66" t="s">
        <v>498</v>
      </c>
      <c r="M22" s="65" t="s">
        <v>18</v>
      </c>
      <c r="N22" s="65" t="s">
        <v>19</v>
      </c>
      <c r="O22" s="66" t="s">
        <v>635</v>
      </c>
      <c r="P22" s="66" t="s">
        <v>636</v>
      </c>
      <c r="Q22" s="75" t="s">
        <v>637</v>
      </c>
    </row>
    <row r="23" spans="1:17" s="76" customFormat="1" ht="189" x14ac:dyDescent="0.3">
      <c r="B23" s="104">
        <f t="shared" si="0"/>
        <v>18</v>
      </c>
      <c r="C23" s="62" t="s">
        <v>14</v>
      </c>
      <c r="D23" s="62" t="s">
        <v>15</v>
      </c>
      <c r="E23" s="62" t="s">
        <v>25</v>
      </c>
      <c r="F23" s="63" t="s">
        <v>26</v>
      </c>
      <c r="G23" s="64" t="s">
        <v>206</v>
      </c>
      <c r="H23" s="64" t="s">
        <v>207</v>
      </c>
      <c r="I23" s="65">
        <v>696</v>
      </c>
      <c r="J23" s="65" t="s">
        <v>457</v>
      </c>
      <c r="K23" s="103">
        <v>4</v>
      </c>
      <c r="L23" s="66" t="s">
        <v>499</v>
      </c>
      <c r="M23" s="65" t="s">
        <v>18</v>
      </c>
      <c r="N23" s="65" t="s">
        <v>19</v>
      </c>
      <c r="O23" s="66" t="s">
        <v>638</v>
      </c>
      <c r="P23" s="66" t="s">
        <v>639</v>
      </c>
      <c r="Q23" s="75" t="s">
        <v>640</v>
      </c>
    </row>
    <row r="24" spans="1:17" s="76" customFormat="1" ht="142.5" customHeight="1" x14ac:dyDescent="0.3">
      <c r="B24" s="104">
        <f t="shared" si="0"/>
        <v>19</v>
      </c>
      <c r="C24" s="62" t="s">
        <v>14</v>
      </c>
      <c r="D24" s="62" t="s">
        <v>96</v>
      </c>
      <c r="E24" s="62" t="s">
        <v>208</v>
      </c>
      <c r="F24" s="63" t="s">
        <v>209</v>
      </c>
      <c r="G24" s="64" t="s">
        <v>210</v>
      </c>
      <c r="H24" s="64" t="s">
        <v>211</v>
      </c>
      <c r="I24" s="77">
        <v>402</v>
      </c>
      <c r="J24" s="77" t="s">
        <v>461</v>
      </c>
      <c r="K24" s="103">
        <v>2</v>
      </c>
      <c r="L24" s="68" t="s">
        <v>500</v>
      </c>
      <c r="M24" s="65" t="s">
        <v>641</v>
      </c>
      <c r="N24" s="65" t="s">
        <v>19</v>
      </c>
      <c r="O24" s="66" t="s">
        <v>642</v>
      </c>
      <c r="P24" s="78" t="s">
        <v>643</v>
      </c>
      <c r="Q24" s="105" t="s">
        <v>644</v>
      </c>
    </row>
    <row r="25" spans="1:17" s="76" customFormat="1" ht="175.5" x14ac:dyDescent="0.3">
      <c r="B25" s="104">
        <f t="shared" si="0"/>
        <v>20</v>
      </c>
      <c r="C25" s="62" t="s">
        <v>14</v>
      </c>
      <c r="D25" s="62" t="s">
        <v>15</v>
      </c>
      <c r="E25" s="62" t="s">
        <v>25</v>
      </c>
      <c r="F25" s="63" t="s">
        <v>26</v>
      </c>
      <c r="G25" s="64" t="s">
        <v>212</v>
      </c>
      <c r="H25" s="64" t="s">
        <v>213</v>
      </c>
      <c r="I25" s="65">
        <v>425</v>
      </c>
      <c r="J25" s="65" t="s">
        <v>28</v>
      </c>
      <c r="K25" s="103">
        <v>4</v>
      </c>
      <c r="L25" s="66" t="s">
        <v>501</v>
      </c>
      <c r="M25" s="65" t="s">
        <v>18</v>
      </c>
      <c r="N25" s="65" t="s">
        <v>19</v>
      </c>
      <c r="O25" s="66" t="s">
        <v>645</v>
      </c>
      <c r="P25" s="66" t="s">
        <v>646</v>
      </c>
      <c r="Q25" s="75" t="s">
        <v>647</v>
      </c>
    </row>
    <row r="26" spans="1:17" s="76" customFormat="1" ht="81" x14ac:dyDescent="0.3">
      <c r="B26" s="104">
        <f t="shared" si="0"/>
        <v>21</v>
      </c>
      <c r="C26" s="62" t="s">
        <v>14</v>
      </c>
      <c r="D26" s="62" t="s">
        <v>15</v>
      </c>
      <c r="E26" s="62" t="s">
        <v>25</v>
      </c>
      <c r="F26" s="63" t="s">
        <v>26</v>
      </c>
      <c r="G26" s="64" t="s">
        <v>214</v>
      </c>
      <c r="H26" s="64" t="s">
        <v>215</v>
      </c>
      <c r="I26" s="65" t="s">
        <v>454</v>
      </c>
      <c r="J26" s="65" t="s">
        <v>454</v>
      </c>
      <c r="K26" s="103">
        <v>4</v>
      </c>
      <c r="L26" s="66" t="s">
        <v>502</v>
      </c>
      <c r="M26" s="65" t="s">
        <v>24</v>
      </c>
      <c r="N26" s="65" t="s">
        <v>19</v>
      </c>
      <c r="O26" s="66" t="s">
        <v>648</v>
      </c>
      <c r="P26" s="66" t="s">
        <v>649</v>
      </c>
      <c r="Q26" s="75" t="s">
        <v>650</v>
      </c>
    </row>
    <row r="27" spans="1:17" s="76" customFormat="1" ht="108" x14ac:dyDescent="0.3">
      <c r="B27" s="104">
        <f t="shared" si="0"/>
        <v>22</v>
      </c>
      <c r="C27" s="62" t="s">
        <v>14</v>
      </c>
      <c r="D27" s="62" t="s">
        <v>15</v>
      </c>
      <c r="E27" s="62" t="s">
        <v>16</v>
      </c>
      <c r="F27" s="63" t="s">
        <v>26</v>
      </c>
      <c r="G27" s="64" t="s">
        <v>216</v>
      </c>
      <c r="H27" s="64" t="s">
        <v>217</v>
      </c>
      <c r="I27" s="65" t="s">
        <v>454</v>
      </c>
      <c r="J27" s="65" t="s">
        <v>454</v>
      </c>
      <c r="K27" s="103">
        <v>3</v>
      </c>
      <c r="L27" s="66" t="s">
        <v>503</v>
      </c>
      <c r="M27" s="65" t="s">
        <v>18</v>
      </c>
      <c r="N27" s="65" t="s">
        <v>19</v>
      </c>
      <c r="O27" s="66" t="s">
        <v>651</v>
      </c>
      <c r="P27" s="66" t="s">
        <v>652</v>
      </c>
      <c r="Q27" s="75" t="s">
        <v>653</v>
      </c>
    </row>
    <row r="28" spans="1:17" s="76" customFormat="1" ht="216" x14ac:dyDescent="0.3">
      <c r="B28" s="104">
        <f t="shared" si="0"/>
        <v>23</v>
      </c>
      <c r="C28" s="62" t="s">
        <v>14</v>
      </c>
      <c r="D28" s="62" t="s">
        <v>15</v>
      </c>
      <c r="E28" s="62" t="s">
        <v>25</v>
      </c>
      <c r="F28" s="63" t="s">
        <v>26</v>
      </c>
      <c r="G28" s="64" t="s">
        <v>218</v>
      </c>
      <c r="H28" s="64" t="s">
        <v>219</v>
      </c>
      <c r="I28" s="65">
        <v>472</v>
      </c>
      <c r="J28" s="65" t="s">
        <v>455</v>
      </c>
      <c r="K28" s="103">
        <v>4</v>
      </c>
      <c r="L28" s="66" t="s">
        <v>504</v>
      </c>
      <c r="M28" s="65" t="s">
        <v>18</v>
      </c>
      <c r="N28" s="65" t="s">
        <v>19</v>
      </c>
      <c r="O28" s="66" t="s">
        <v>648</v>
      </c>
      <c r="P28" s="66" t="s">
        <v>654</v>
      </c>
      <c r="Q28" s="75" t="s">
        <v>655</v>
      </c>
    </row>
    <row r="29" spans="1:17" s="76" customFormat="1" ht="148.5" x14ac:dyDescent="0.3">
      <c r="B29" s="104">
        <f t="shared" si="0"/>
        <v>24</v>
      </c>
      <c r="C29" s="62" t="s">
        <v>14</v>
      </c>
      <c r="D29" s="62" t="s">
        <v>15</v>
      </c>
      <c r="E29" s="62" t="s">
        <v>25</v>
      </c>
      <c r="F29" s="63" t="s">
        <v>26</v>
      </c>
      <c r="G29" s="64" t="s">
        <v>220</v>
      </c>
      <c r="H29" s="64" t="s">
        <v>221</v>
      </c>
      <c r="I29" s="65" t="s">
        <v>462</v>
      </c>
      <c r="J29" s="65" t="s">
        <v>454</v>
      </c>
      <c r="K29" s="103">
        <v>2</v>
      </c>
      <c r="L29" s="66" t="s">
        <v>505</v>
      </c>
      <c r="M29" s="65" t="s">
        <v>18</v>
      </c>
      <c r="N29" s="65" t="s">
        <v>19</v>
      </c>
      <c r="O29" s="66" t="s">
        <v>656</v>
      </c>
      <c r="P29" s="66" t="s">
        <v>657</v>
      </c>
      <c r="Q29" s="75" t="s">
        <v>658</v>
      </c>
    </row>
    <row r="30" spans="1:17" s="76" customFormat="1" ht="243" x14ac:dyDescent="0.3">
      <c r="B30" s="104">
        <f t="shared" si="0"/>
        <v>25</v>
      </c>
      <c r="C30" s="62" t="s">
        <v>14</v>
      </c>
      <c r="D30" s="62" t="s">
        <v>15</v>
      </c>
      <c r="E30" s="62" t="s">
        <v>25</v>
      </c>
      <c r="F30" s="63" t="s">
        <v>26</v>
      </c>
      <c r="G30" s="64" t="s">
        <v>222</v>
      </c>
      <c r="H30" s="64" t="s">
        <v>223</v>
      </c>
      <c r="I30" s="65">
        <v>98</v>
      </c>
      <c r="J30" s="65">
        <v>113</v>
      </c>
      <c r="K30" s="103">
        <v>1</v>
      </c>
      <c r="L30" s="69" t="s">
        <v>506</v>
      </c>
      <c r="M30" s="65" t="s">
        <v>18</v>
      </c>
      <c r="N30" s="65" t="s">
        <v>19</v>
      </c>
      <c r="O30" s="66" t="s">
        <v>659</v>
      </c>
      <c r="P30" s="66" t="s">
        <v>660</v>
      </c>
      <c r="Q30" s="75" t="s">
        <v>661</v>
      </c>
    </row>
    <row r="31" spans="1:17" s="76" customFormat="1" ht="94.5" x14ac:dyDescent="0.3">
      <c r="B31" s="104">
        <f t="shared" si="0"/>
        <v>26</v>
      </c>
      <c r="C31" s="62" t="s">
        <v>95</v>
      </c>
      <c r="D31" s="62" t="s">
        <v>96</v>
      </c>
      <c r="E31" s="62" t="s">
        <v>25</v>
      </c>
      <c r="F31" s="63" t="s">
        <v>209</v>
      </c>
      <c r="G31" s="64" t="s">
        <v>224</v>
      </c>
      <c r="H31" s="64" t="s">
        <v>225</v>
      </c>
      <c r="I31" s="65" t="s">
        <v>463</v>
      </c>
      <c r="J31" s="65" t="s">
        <v>463</v>
      </c>
      <c r="K31" s="103">
        <v>2</v>
      </c>
      <c r="L31" s="66" t="s">
        <v>507</v>
      </c>
      <c r="M31" s="65" t="s">
        <v>18</v>
      </c>
      <c r="N31" s="65" t="s">
        <v>19</v>
      </c>
      <c r="O31" s="66" t="s">
        <v>662</v>
      </c>
      <c r="P31" s="66" t="s">
        <v>663</v>
      </c>
      <c r="Q31" s="75" t="s">
        <v>664</v>
      </c>
    </row>
    <row r="32" spans="1:17" s="76" customFormat="1" ht="81" x14ac:dyDescent="0.3">
      <c r="B32" s="104">
        <f t="shared" si="0"/>
        <v>27</v>
      </c>
      <c r="C32" s="62" t="s">
        <v>14</v>
      </c>
      <c r="D32" s="62" t="s">
        <v>15</v>
      </c>
      <c r="E32" s="62" t="s">
        <v>16</v>
      </c>
      <c r="F32" s="63" t="s">
        <v>26</v>
      </c>
      <c r="G32" s="64" t="s">
        <v>226</v>
      </c>
      <c r="H32" s="64" t="s">
        <v>227</v>
      </c>
      <c r="I32" s="65" t="s">
        <v>454</v>
      </c>
      <c r="J32" s="65" t="s">
        <v>454</v>
      </c>
      <c r="K32" s="103">
        <v>4</v>
      </c>
      <c r="L32" s="66" t="s">
        <v>508</v>
      </c>
      <c r="M32" s="65" t="s">
        <v>18</v>
      </c>
      <c r="N32" s="65" t="s">
        <v>19</v>
      </c>
      <c r="O32" s="66" t="s">
        <v>665</v>
      </c>
      <c r="P32" s="66" t="s">
        <v>666</v>
      </c>
      <c r="Q32" s="75" t="s">
        <v>667</v>
      </c>
    </row>
    <row r="33" spans="2:17" s="76" customFormat="1" ht="256.5" x14ac:dyDescent="0.3">
      <c r="B33" s="104">
        <f t="shared" si="0"/>
        <v>28</v>
      </c>
      <c r="C33" s="62" t="s">
        <v>14</v>
      </c>
      <c r="D33" s="62" t="s">
        <v>15</v>
      </c>
      <c r="E33" s="62" t="s">
        <v>25</v>
      </c>
      <c r="F33" s="63" t="s">
        <v>26</v>
      </c>
      <c r="G33" s="64" t="s">
        <v>228</v>
      </c>
      <c r="H33" s="64" t="s">
        <v>229</v>
      </c>
      <c r="I33" s="65" t="s">
        <v>464</v>
      </c>
      <c r="J33" s="65" t="s">
        <v>454</v>
      </c>
      <c r="K33" s="103">
        <v>3</v>
      </c>
      <c r="L33" s="66" t="s">
        <v>509</v>
      </c>
      <c r="M33" s="65" t="s">
        <v>18</v>
      </c>
      <c r="N33" s="65" t="s">
        <v>19</v>
      </c>
      <c r="O33" s="66" t="s">
        <v>638</v>
      </c>
      <c r="P33" s="66" t="s">
        <v>668</v>
      </c>
      <c r="Q33" s="75" t="s">
        <v>669</v>
      </c>
    </row>
    <row r="34" spans="2:17" s="76" customFormat="1" ht="121.5" x14ac:dyDescent="0.3">
      <c r="B34" s="104">
        <f t="shared" si="0"/>
        <v>29</v>
      </c>
      <c r="C34" s="44" t="s">
        <v>14</v>
      </c>
      <c r="D34" s="44" t="s">
        <v>15</v>
      </c>
      <c r="E34" s="44" t="s">
        <v>25</v>
      </c>
      <c r="F34" s="53" t="s">
        <v>26</v>
      </c>
      <c r="G34" s="45" t="s">
        <v>101</v>
      </c>
      <c r="H34" s="45" t="s">
        <v>102</v>
      </c>
      <c r="I34" s="46">
        <v>218</v>
      </c>
      <c r="J34" s="46" t="s">
        <v>28</v>
      </c>
      <c r="K34" s="103">
        <v>2</v>
      </c>
      <c r="L34" s="47" t="s">
        <v>135</v>
      </c>
      <c r="M34" s="46" t="s">
        <v>18</v>
      </c>
      <c r="N34" s="46" t="s">
        <v>19</v>
      </c>
      <c r="O34" s="47" t="s">
        <v>659</v>
      </c>
      <c r="P34" s="47" t="s">
        <v>136</v>
      </c>
      <c r="Q34" s="55" t="s">
        <v>137</v>
      </c>
    </row>
    <row r="35" spans="2:17" s="76" customFormat="1" ht="81" x14ac:dyDescent="0.3">
      <c r="B35" s="104">
        <f t="shared" si="0"/>
        <v>30</v>
      </c>
      <c r="C35" s="62" t="s">
        <v>95</v>
      </c>
      <c r="D35" s="62" t="s">
        <v>96</v>
      </c>
      <c r="E35" s="62" t="s">
        <v>230</v>
      </c>
      <c r="F35" s="63" t="s">
        <v>209</v>
      </c>
      <c r="G35" s="64" t="s">
        <v>231</v>
      </c>
      <c r="H35" s="64" t="s">
        <v>232</v>
      </c>
      <c r="I35" s="65" t="s">
        <v>463</v>
      </c>
      <c r="J35" s="65" t="s">
        <v>459</v>
      </c>
      <c r="K35" s="103">
        <v>2</v>
      </c>
      <c r="L35" s="66" t="s">
        <v>510</v>
      </c>
      <c r="M35" s="65" t="s">
        <v>18</v>
      </c>
      <c r="N35" s="65" t="s">
        <v>19</v>
      </c>
      <c r="O35" s="66" t="s">
        <v>648</v>
      </c>
      <c r="P35" s="66" t="s">
        <v>670</v>
      </c>
      <c r="Q35" s="75" t="s">
        <v>671</v>
      </c>
    </row>
    <row r="36" spans="2:17" s="76" customFormat="1" ht="94.5" x14ac:dyDescent="0.3">
      <c r="B36" s="104">
        <f t="shared" si="0"/>
        <v>31</v>
      </c>
      <c r="C36" s="62" t="s">
        <v>14</v>
      </c>
      <c r="D36" s="62" t="s">
        <v>15</v>
      </c>
      <c r="E36" s="62" t="s">
        <v>25</v>
      </c>
      <c r="F36" s="63" t="s">
        <v>26</v>
      </c>
      <c r="G36" s="64" t="s">
        <v>233</v>
      </c>
      <c r="H36" s="64" t="s">
        <v>234</v>
      </c>
      <c r="I36" s="65" t="s">
        <v>454</v>
      </c>
      <c r="J36" s="65" t="s">
        <v>454</v>
      </c>
      <c r="K36" s="103">
        <v>2</v>
      </c>
      <c r="L36" s="66" t="s">
        <v>511</v>
      </c>
      <c r="M36" s="65" t="s">
        <v>18</v>
      </c>
      <c r="N36" s="65" t="s">
        <v>19</v>
      </c>
      <c r="O36" s="66" t="s">
        <v>672</v>
      </c>
      <c r="P36" s="66" t="s">
        <v>673</v>
      </c>
      <c r="Q36" s="75" t="s">
        <v>674</v>
      </c>
    </row>
    <row r="37" spans="2:17" s="76" customFormat="1" ht="148.5" x14ac:dyDescent="0.3">
      <c r="B37" s="104">
        <f t="shared" si="0"/>
        <v>32</v>
      </c>
      <c r="C37" s="62" t="s">
        <v>14</v>
      </c>
      <c r="D37" s="62" t="s">
        <v>15</v>
      </c>
      <c r="E37" s="62" t="s">
        <v>25</v>
      </c>
      <c r="F37" s="63" t="s">
        <v>26</v>
      </c>
      <c r="G37" s="64" t="s">
        <v>235</v>
      </c>
      <c r="H37" s="64" t="s">
        <v>236</v>
      </c>
      <c r="I37" s="65" t="s">
        <v>465</v>
      </c>
      <c r="J37" s="65" t="s">
        <v>466</v>
      </c>
      <c r="K37" s="103">
        <v>2</v>
      </c>
      <c r="L37" s="66" t="s">
        <v>512</v>
      </c>
      <c r="M37" s="65" t="s">
        <v>18</v>
      </c>
      <c r="N37" s="65" t="s">
        <v>19</v>
      </c>
      <c r="O37" s="66" t="s">
        <v>675</v>
      </c>
      <c r="P37" s="66" t="s">
        <v>676</v>
      </c>
      <c r="Q37" s="75" t="s">
        <v>677</v>
      </c>
    </row>
    <row r="38" spans="2:17" s="76" customFormat="1" ht="121.5" x14ac:dyDescent="0.3">
      <c r="B38" s="104">
        <f t="shared" si="0"/>
        <v>33</v>
      </c>
      <c r="C38" s="62" t="s">
        <v>14</v>
      </c>
      <c r="D38" s="62" t="s">
        <v>15</v>
      </c>
      <c r="E38" s="62" t="s">
        <v>25</v>
      </c>
      <c r="F38" s="63" t="s">
        <v>26</v>
      </c>
      <c r="G38" s="64" t="s">
        <v>237</v>
      </c>
      <c r="H38" s="64" t="s">
        <v>238</v>
      </c>
      <c r="I38" s="65" t="s">
        <v>454</v>
      </c>
      <c r="J38" s="65" t="s">
        <v>454</v>
      </c>
      <c r="K38" s="103">
        <v>2</v>
      </c>
      <c r="L38" s="66" t="s">
        <v>513</v>
      </c>
      <c r="M38" s="65" t="s">
        <v>18</v>
      </c>
      <c r="N38" s="65" t="s">
        <v>19</v>
      </c>
      <c r="O38" s="66" t="s">
        <v>648</v>
      </c>
      <c r="P38" s="66" t="s">
        <v>678</v>
      </c>
      <c r="Q38" s="75" t="s">
        <v>679</v>
      </c>
    </row>
    <row r="39" spans="2:17" s="76" customFormat="1" ht="94.5" x14ac:dyDescent="0.3">
      <c r="B39" s="104">
        <f t="shared" si="0"/>
        <v>34</v>
      </c>
      <c r="C39" s="62" t="s">
        <v>14</v>
      </c>
      <c r="D39" s="62" t="s">
        <v>15</v>
      </c>
      <c r="E39" s="62" t="s">
        <v>25</v>
      </c>
      <c r="F39" s="63" t="s">
        <v>26</v>
      </c>
      <c r="G39" s="64" t="s">
        <v>239</v>
      </c>
      <c r="H39" s="64" t="s">
        <v>240</v>
      </c>
      <c r="I39" s="65">
        <v>620</v>
      </c>
      <c r="J39" s="65" t="s">
        <v>467</v>
      </c>
      <c r="K39" s="103">
        <v>4</v>
      </c>
      <c r="L39" s="66" t="s">
        <v>514</v>
      </c>
      <c r="M39" s="65" t="s">
        <v>24</v>
      </c>
      <c r="N39" s="65" t="s">
        <v>19</v>
      </c>
      <c r="O39" s="66" t="s">
        <v>648</v>
      </c>
      <c r="P39" s="66" t="s">
        <v>680</v>
      </c>
      <c r="Q39" s="75" t="s">
        <v>681</v>
      </c>
    </row>
    <row r="40" spans="2:17" s="76" customFormat="1" ht="189" x14ac:dyDescent="0.3">
      <c r="B40" s="104">
        <f t="shared" si="0"/>
        <v>35</v>
      </c>
      <c r="C40" s="62" t="s">
        <v>14</v>
      </c>
      <c r="D40" s="62" t="s">
        <v>15</v>
      </c>
      <c r="E40" s="62" t="s">
        <v>25</v>
      </c>
      <c r="F40" s="63" t="s">
        <v>26</v>
      </c>
      <c r="G40" s="64" t="s">
        <v>241</v>
      </c>
      <c r="H40" s="64" t="s">
        <v>242</v>
      </c>
      <c r="I40" s="65" t="s">
        <v>454</v>
      </c>
      <c r="J40" s="65" t="s">
        <v>454</v>
      </c>
      <c r="K40" s="103">
        <v>4</v>
      </c>
      <c r="L40" s="69" t="s">
        <v>515</v>
      </c>
      <c r="M40" s="65" t="s">
        <v>18</v>
      </c>
      <c r="N40" s="65" t="s">
        <v>19</v>
      </c>
      <c r="O40" s="66" t="s">
        <v>682</v>
      </c>
      <c r="P40" s="66" t="s">
        <v>683</v>
      </c>
      <c r="Q40" s="75" t="s">
        <v>684</v>
      </c>
    </row>
    <row r="41" spans="2:17" s="76" customFormat="1" ht="175.5" x14ac:dyDescent="0.3">
      <c r="B41" s="104">
        <f t="shared" si="0"/>
        <v>36</v>
      </c>
      <c r="C41" s="62" t="s">
        <v>95</v>
      </c>
      <c r="D41" s="62" t="s">
        <v>96</v>
      </c>
      <c r="E41" s="62" t="s">
        <v>230</v>
      </c>
      <c r="F41" s="63" t="s">
        <v>209</v>
      </c>
      <c r="G41" s="64" t="s">
        <v>243</v>
      </c>
      <c r="H41" s="64" t="s">
        <v>244</v>
      </c>
      <c r="I41" s="65">
        <v>376</v>
      </c>
      <c r="J41" s="65" t="s">
        <v>168</v>
      </c>
      <c r="K41" s="103">
        <v>2</v>
      </c>
      <c r="L41" s="66" t="s">
        <v>516</v>
      </c>
      <c r="M41" s="65" t="s">
        <v>24</v>
      </c>
      <c r="N41" s="65" t="s">
        <v>19</v>
      </c>
      <c r="O41" s="66" t="s">
        <v>685</v>
      </c>
      <c r="P41" s="66" t="s">
        <v>686</v>
      </c>
      <c r="Q41" s="75" t="s">
        <v>687</v>
      </c>
    </row>
    <row r="42" spans="2:17" s="76" customFormat="1" ht="94.5" x14ac:dyDescent="0.3">
      <c r="B42" s="104">
        <f t="shared" si="0"/>
        <v>37</v>
      </c>
      <c r="C42" s="62" t="s">
        <v>14</v>
      </c>
      <c r="D42" s="62" t="s">
        <v>15</v>
      </c>
      <c r="E42" s="62" t="s">
        <v>16</v>
      </c>
      <c r="F42" s="63" t="s">
        <v>26</v>
      </c>
      <c r="G42" s="64" t="s">
        <v>245</v>
      </c>
      <c r="H42" s="64" t="s">
        <v>246</v>
      </c>
      <c r="I42" s="65" t="s">
        <v>454</v>
      </c>
      <c r="J42" s="65" t="s">
        <v>454</v>
      </c>
      <c r="K42" s="103">
        <v>2</v>
      </c>
      <c r="L42" s="66" t="s">
        <v>517</v>
      </c>
      <c r="M42" s="65" t="s">
        <v>18</v>
      </c>
      <c r="N42" s="65" t="s">
        <v>19</v>
      </c>
      <c r="O42" s="66" t="s">
        <v>688</v>
      </c>
      <c r="P42" s="66" t="s">
        <v>689</v>
      </c>
      <c r="Q42" s="75" t="s">
        <v>690</v>
      </c>
    </row>
    <row r="43" spans="2:17" s="76" customFormat="1" ht="189.75" x14ac:dyDescent="0.3">
      <c r="B43" s="104">
        <f t="shared" si="0"/>
        <v>38</v>
      </c>
      <c r="C43" s="62" t="s">
        <v>14</v>
      </c>
      <c r="D43" s="62" t="s">
        <v>15</v>
      </c>
      <c r="E43" s="62" t="s">
        <v>25</v>
      </c>
      <c r="F43" s="63" t="s">
        <v>26</v>
      </c>
      <c r="G43" s="64" t="s">
        <v>247</v>
      </c>
      <c r="H43" s="64" t="s">
        <v>248</v>
      </c>
      <c r="I43" s="65">
        <v>209</v>
      </c>
      <c r="J43" s="65">
        <v>125</v>
      </c>
      <c r="K43" s="103">
        <v>3</v>
      </c>
      <c r="L43" s="66" t="s">
        <v>518</v>
      </c>
      <c r="M43" s="65" t="s">
        <v>18</v>
      </c>
      <c r="N43" s="65" t="s">
        <v>19</v>
      </c>
      <c r="O43" s="66" t="s">
        <v>648</v>
      </c>
      <c r="P43" s="66" t="s">
        <v>691</v>
      </c>
      <c r="Q43" s="75" t="s">
        <v>692</v>
      </c>
    </row>
    <row r="44" spans="2:17" s="76" customFormat="1" ht="94.5" x14ac:dyDescent="0.3">
      <c r="B44" s="104">
        <f t="shared" si="0"/>
        <v>39</v>
      </c>
      <c r="C44" s="62" t="s">
        <v>14</v>
      </c>
      <c r="D44" s="62" t="s">
        <v>15</v>
      </c>
      <c r="E44" s="62" t="s">
        <v>25</v>
      </c>
      <c r="F44" s="63" t="s">
        <v>26</v>
      </c>
      <c r="G44" s="64" t="s">
        <v>249</v>
      </c>
      <c r="H44" s="64" t="s">
        <v>250</v>
      </c>
      <c r="I44" s="65" t="s">
        <v>468</v>
      </c>
      <c r="J44" s="65" t="s">
        <v>455</v>
      </c>
      <c r="K44" s="103">
        <v>2</v>
      </c>
      <c r="L44" s="66" t="s">
        <v>519</v>
      </c>
      <c r="M44" s="65" t="s">
        <v>18</v>
      </c>
      <c r="N44" s="65" t="s">
        <v>19</v>
      </c>
      <c r="O44" s="66" t="s">
        <v>693</v>
      </c>
      <c r="P44" s="66" t="s">
        <v>694</v>
      </c>
      <c r="Q44" s="75" t="s">
        <v>695</v>
      </c>
    </row>
    <row r="45" spans="2:17" s="76" customFormat="1" ht="54" x14ac:dyDescent="0.3">
      <c r="B45" s="104">
        <f t="shared" si="0"/>
        <v>40</v>
      </c>
      <c r="C45" s="62" t="s">
        <v>14</v>
      </c>
      <c r="D45" s="62" t="s">
        <v>96</v>
      </c>
      <c r="E45" s="62" t="s">
        <v>97</v>
      </c>
      <c r="F45" s="63" t="s">
        <v>251</v>
      </c>
      <c r="G45" s="64" t="s">
        <v>252</v>
      </c>
      <c r="H45" s="64" t="s">
        <v>253</v>
      </c>
      <c r="I45" s="73" t="s">
        <v>469</v>
      </c>
      <c r="J45" s="73" t="s">
        <v>465</v>
      </c>
      <c r="K45" s="103">
        <v>3</v>
      </c>
      <c r="L45" s="68" t="s">
        <v>520</v>
      </c>
      <c r="M45" s="65" t="s">
        <v>130</v>
      </c>
      <c r="N45" s="65" t="s">
        <v>19</v>
      </c>
      <c r="O45" s="66" t="s">
        <v>632</v>
      </c>
      <c r="P45" s="68" t="s">
        <v>696</v>
      </c>
      <c r="Q45" s="105" t="s">
        <v>697</v>
      </c>
    </row>
    <row r="46" spans="2:17" s="76" customFormat="1" ht="67.5" x14ac:dyDescent="0.3">
      <c r="B46" s="104">
        <f t="shared" si="0"/>
        <v>41</v>
      </c>
      <c r="C46" s="62" t="s">
        <v>14</v>
      </c>
      <c r="D46" s="62" t="s">
        <v>15</v>
      </c>
      <c r="E46" s="62" t="s">
        <v>16</v>
      </c>
      <c r="F46" s="63" t="s">
        <v>254</v>
      </c>
      <c r="G46" s="64" t="s">
        <v>255</v>
      </c>
      <c r="H46" s="64" t="s">
        <v>256</v>
      </c>
      <c r="I46" s="65" t="s">
        <v>470</v>
      </c>
      <c r="J46" s="65" t="s">
        <v>458</v>
      </c>
      <c r="K46" s="103">
        <v>2</v>
      </c>
      <c r="L46" s="66" t="s">
        <v>521</v>
      </c>
      <c r="M46" s="65" t="s">
        <v>18</v>
      </c>
      <c r="N46" s="65" t="s">
        <v>19</v>
      </c>
      <c r="O46" s="66" t="s">
        <v>698</v>
      </c>
      <c r="P46" s="66" t="s">
        <v>699</v>
      </c>
      <c r="Q46" s="75" t="s">
        <v>700</v>
      </c>
    </row>
    <row r="47" spans="2:17" s="76" customFormat="1" ht="108" x14ac:dyDescent="0.3">
      <c r="B47" s="104">
        <f t="shared" si="0"/>
        <v>42</v>
      </c>
      <c r="C47" s="62" t="s">
        <v>14</v>
      </c>
      <c r="D47" s="62" t="s">
        <v>15</v>
      </c>
      <c r="E47" s="62" t="s">
        <v>16</v>
      </c>
      <c r="F47" s="63" t="s">
        <v>254</v>
      </c>
      <c r="G47" s="64" t="s">
        <v>257</v>
      </c>
      <c r="H47" s="64" t="s">
        <v>258</v>
      </c>
      <c r="I47" s="65">
        <v>465</v>
      </c>
      <c r="J47" s="65" t="s">
        <v>167</v>
      </c>
      <c r="K47" s="103">
        <v>3</v>
      </c>
      <c r="L47" s="66" t="s">
        <v>522</v>
      </c>
      <c r="M47" s="65" t="s">
        <v>18</v>
      </c>
      <c r="N47" s="65" t="s">
        <v>19</v>
      </c>
      <c r="O47" s="66" t="s">
        <v>701</v>
      </c>
      <c r="P47" s="66" t="s">
        <v>702</v>
      </c>
      <c r="Q47" s="75" t="s">
        <v>703</v>
      </c>
    </row>
    <row r="48" spans="2:17" s="76" customFormat="1" ht="162" x14ac:dyDescent="0.3">
      <c r="B48" s="104">
        <f t="shared" si="0"/>
        <v>43</v>
      </c>
      <c r="C48" s="44" t="s">
        <v>14</v>
      </c>
      <c r="D48" s="44" t="s">
        <v>21</v>
      </c>
      <c r="E48" s="44" t="s">
        <v>16</v>
      </c>
      <c r="F48" s="53" t="s">
        <v>29</v>
      </c>
      <c r="G48" s="45" t="s">
        <v>30</v>
      </c>
      <c r="H48" s="45" t="s">
        <v>31</v>
      </c>
      <c r="I48" s="46">
        <v>56</v>
      </c>
      <c r="J48" s="46" t="s">
        <v>28</v>
      </c>
      <c r="K48" s="103">
        <v>7</v>
      </c>
      <c r="L48" s="47" t="s">
        <v>138</v>
      </c>
      <c r="M48" s="46" t="s">
        <v>18</v>
      </c>
      <c r="N48" s="46" t="s">
        <v>19</v>
      </c>
      <c r="O48" s="47" t="s">
        <v>32</v>
      </c>
      <c r="P48" s="47" t="s">
        <v>139</v>
      </c>
      <c r="Q48" s="55" t="s">
        <v>140</v>
      </c>
    </row>
    <row r="49" spans="2:17" s="76" customFormat="1" ht="81" x14ac:dyDescent="0.3">
      <c r="B49" s="104">
        <f t="shared" si="0"/>
        <v>44</v>
      </c>
      <c r="C49" s="62" t="s">
        <v>14</v>
      </c>
      <c r="D49" s="62" t="s">
        <v>15</v>
      </c>
      <c r="E49" s="62" t="s">
        <v>259</v>
      </c>
      <c r="F49" s="63" t="s">
        <v>260</v>
      </c>
      <c r="G49" s="64" t="s">
        <v>261</v>
      </c>
      <c r="H49" s="64" t="s">
        <v>262</v>
      </c>
      <c r="I49" s="65" t="s">
        <v>471</v>
      </c>
      <c r="J49" s="65" t="s">
        <v>460</v>
      </c>
      <c r="K49" s="103">
        <v>4</v>
      </c>
      <c r="L49" s="66" t="s">
        <v>523</v>
      </c>
      <c r="M49" s="65" t="s">
        <v>18</v>
      </c>
      <c r="N49" s="65" t="s">
        <v>19</v>
      </c>
      <c r="O49" s="66" t="s">
        <v>704</v>
      </c>
      <c r="P49" s="66" t="s">
        <v>705</v>
      </c>
      <c r="Q49" s="75" t="s">
        <v>706</v>
      </c>
    </row>
    <row r="50" spans="2:17" s="76" customFormat="1" ht="67.5" x14ac:dyDescent="0.3">
      <c r="B50" s="104">
        <f t="shared" si="0"/>
        <v>45</v>
      </c>
      <c r="C50" s="62" t="s">
        <v>14</v>
      </c>
      <c r="D50" s="62" t="s">
        <v>15</v>
      </c>
      <c r="E50" s="62" t="s">
        <v>16</v>
      </c>
      <c r="F50" s="63" t="s">
        <v>263</v>
      </c>
      <c r="G50" s="64" t="s">
        <v>264</v>
      </c>
      <c r="H50" s="64" t="s">
        <v>265</v>
      </c>
      <c r="I50" s="65" t="s">
        <v>454</v>
      </c>
      <c r="J50" s="65" t="s">
        <v>454</v>
      </c>
      <c r="K50" s="103">
        <v>2</v>
      </c>
      <c r="L50" s="66" t="s">
        <v>524</v>
      </c>
      <c r="M50" s="65" t="s">
        <v>18</v>
      </c>
      <c r="N50" s="65" t="s">
        <v>19</v>
      </c>
      <c r="O50" s="66" t="s">
        <v>33</v>
      </c>
      <c r="P50" s="66" t="s">
        <v>707</v>
      </c>
      <c r="Q50" s="75" t="s">
        <v>708</v>
      </c>
    </row>
    <row r="51" spans="2:17" s="76" customFormat="1" ht="94.5" x14ac:dyDescent="0.3">
      <c r="B51" s="104">
        <f t="shared" si="0"/>
        <v>46</v>
      </c>
      <c r="C51" s="62" t="s">
        <v>14</v>
      </c>
      <c r="D51" s="62" t="s">
        <v>15</v>
      </c>
      <c r="E51" s="62" t="s">
        <v>16</v>
      </c>
      <c r="F51" s="63" t="s">
        <v>263</v>
      </c>
      <c r="G51" s="64" t="s">
        <v>266</v>
      </c>
      <c r="H51" s="64" t="s">
        <v>267</v>
      </c>
      <c r="I51" s="65" t="s">
        <v>472</v>
      </c>
      <c r="J51" s="65" t="s">
        <v>473</v>
      </c>
      <c r="K51" s="103">
        <v>2</v>
      </c>
      <c r="L51" s="66" t="s">
        <v>525</v>
      </c>
      <c r="M51" s="65" t="s">
        <v>18</v>
      </c>
      <c r="N51" s="65" t="s">
        <v>19</v>
      </c>
      <c r="O51" s="66" t="s">
        <v>33</v>
      </c>
      <c r="P51" s="66" t="s">
        <v>709</v>
      </c>
      <c r="Q51" s="75" t="s">
        <v>710</v>
      </c>
    </row>
    <row r="52" spans="2:17" s="76" customFormat="1" ht="81" x14ac:dyDescent="0.3">
      <c r="B52" s="104">
        <f t="shared" si="0"/>
        <v>47</v>
      </c>
      <c r="C52" s="62" t="s">
        <v>14</v>
      </c>
      <c r="D52" s="62" t="s">
        <v>15</v>
      </c>
      <c r="E52" s="62" t="s">
        <v>16</v>
      </c>
      <c r="F52" s="63" t="s">
        <v>263</v>
      </c>
      <c r="G52" s="64" t="s">
        <v>268</v>
      </c>
      <c r="H52" s="64" t="s">
        <v>269</v>
      </c>
      <c r="I52" s="65" t="s">
        <v>462</v>
      </c>
      <c r="J52" s="65" t="s">
        <v>459</v>
      </c>
      <c r="K52" s="103">
        <v>2</v>
      </c>
      <c r="L52" s="66" t="s">
        <v>526</v>
      </c>
      <c r="M52" s="65" t="s">
        <v>18</v>
      </c>
      <c r="N52" s="65" t="s">
        <v>19</v>
      </c>
      <c r="O52" s="66" t="s">
        <v>711</v>
      </c>
      <c r="P52" s="66" t="s">
        <v>712</v>
      </c>
      <c r="Q52" s="75" t="s">
        <v>713</v>
      </c>
    </row>
    <row r="53" spans="2:17" s="76" customFormat="1" ht="81" x14ac:dyDescent="0.3">
      <c r="B53" s="104">
        <f t="shared" si="0"/>
        <v>48</v>
      </c>
      <c r="C53" s="62" t="s">
        <v>14</v>
      </c>
      <c r="D53" s="62" t="s">
        <v>15</v>
      </c>
      <c r="E53" s="62" t="s">
        <v>16</v>
      </c>
      <c r="F53" s="63" t="s">
        <v>270</v>
      </c>
      <c r="G53" s="64" t="s">
        <v>271</v>
      </c>
      <c r="H53" s="64" t="s">
        <v>272</v>
      </c>
      <c r="I53" s="65" t="s">
        <v>454</v>
      </c>
      <c r="J53" s="65" t="s">
        <v>454</v>
      </c>
      <c r="K53" s="103">
        <v>5</v>
      </c>
      <c r="L53" s="66" t="s">
        <v>527</v>
      </c>
      <c r="M53" s="65" t="s">
        <v>18</v>
      </c>
      <c r="N53" s="65" t="s">
        <v>19</v>
      </c>
      <c r="O53" s="66" t="s">
        <v>714</v>
      </c>
      <c r="P53" s="66" t="s">
        <v>715</v>
      </c>
      <c r="Q53" s="75" t="s">
        <v>716</v>
      </c>
    </row>
    <row r="54" spans="2:17" s="76" customFormat="1" ht="148.5" x14ac:dyDescent="0.3">
      <c r="B54" s="104">
        <f t="shared" si="0"/>
        <v>49</v>
      </c>
      <c r="C54" s="79" t="s">
        <v>14</v>
      </c>
      <c r="D54" s="79" t="s">
        <v>15</v>
      </c>
      <c r="E54" s="62" t="s">
        <v>273</v>
      </c>
      <c r="F54" s="80" t="s">
        <v>274</v>
      </c>
      <c r="G54" s="64" t="s">
        <v>275</v>
      </c>
      <c r="H54" s="64" t="s">
        <v>276</v>
      </c>
      <c r="I54" s="65">
        <v>168</v>
      </c>
      <c r="J54" s="65">
        <v>166</v>
      </c>
      <c r="K54" s="103">
        <v>2</v>
      </c>
      <c r="L54" s="66" t="s">
        <v>528</v>
      </c>
      <c r="M54" s="65" t="s">
        <v>18</v>
      </c>
      <c r="N54" s="65" t="s">
        <v>19</v>
      </c>
      <c r="O54" s="81" t="s">
        <v>717</v>
      </c>
      <c r="P54" s="66" t="s">
        <v>718</v>
      </c>
      <c r="Q54" s="75" t="s">
        <v>719</v>
      </c>
    </row>
    <row r="55" spans="2:17" s="76" customFormat="1" ht="81" x14ac:dyDescent="0.3">
      <c r="B55" s="104">
        <f t="shared" si="0"/>
        <v>50</v>
      </c>
      <c r="C55" s="62" t="s">
        <v>14</v>
      </c>
      <c r="D55" s="62" t="s">
        <v>15</v>
      </c>
      <c r="E55" s="62" t="s">
        <v>16</v>
      </c>
      <c r="F55" s="63" t="s">
        <v>277</v>
      </c>
      <c r="G55" s="64" t="s">
        <v>278</v>
      </c>
      <c r="H55" s="64" t="s">
        <v>279</v>
      </c>
      <c r="I55" s="65" t="s">
        <v>454</v>
      </c>
      <c r="J55" s="65" t="s">
        <v>454</v>
      </c>
      <c r="K55" s="103">
        <v>2</v>
      </c>
      <c r="L55" s="69" t="s">
        <v>529</v>
      </c>
      <c r="M55" s="65" t="s">
        <v>18</v>
      </c>
      <c r="N55" s="65" t="s">
        <v>19</v>
      </c>
      <c r="O55" s="66" t="s">
        <v>720</v>
      </c>
      <c r="P55" s="66" t="s">
        <v>721</v>
      </c>
      <c r="Q55" s="75" t="s">
        <v>722</v>
      </c>
    </row>
    <row r="56" spans="2:17" s="82" customFormat="1" ht="67.5" x14ac:dyDescent="0.3">
      <c r="B56" s="104">
        <f t="shared" si="0"/>
        <v>51</v>
      </c>
      <c r="C56" s="70" t="s">
        <v>14</v>
      </c>
      <c r="D56" s="70" t="s">
        <v>15</v>
      </c>
      <c r="E56" s="70" t="s">
        <v>16</v>
      </c>
      <c r="F56" s="71" t="s">
        <v>277</v>
      </c>
      <c r="G56" s="72" t="s">
        <v>280</v>
      </c>
      <c r="H56" s="72" t="s">
        <v>281</v>
      </c>
      <c r="I56" s="73" t="s">
        <v>454</v>
      </c>
      <c r="J56" s="73" t="s">
        <v>454</v>
      </c>
      <c r="K56" s="103">
        <v>2</v>
      </c>
      <c r="L56" s="69" t="s">
        <v>530</v>
      </c>
      <c r="M56" s="73" t="s">
        <v>18</v>
      </c>
      <c r="N56" s="73" t="s">
        <v>19</v>
      </c>
      <c r="O56" s="69" t="s">
        <v>720</v>
      </c>
      <c r="P56" s="69" t="s">
        <v>723</v>
      </c>
      <c r="Q56" s="106" t="s">
        <v>724</v>
      </c>
    </row>
    <row r="57" spans="2:17" s="82" customFormat="1" ht="94.5" x14ac:dyDescent="0.3">
      <c r="B57" s="104">
        <f t="shared" si="0"/>
        <v>52</v>
      </c>
      <c r="C57" s="44" t="s">
        <v>14</v>
      </c>
      <c r="D57" s="44" t="s">
        <v>15</v>
      </c>
      <c r="E57" s="44" t="s">
        <v>16</v>
      </c>
      <c r="F57" s="53" t="s">
        <v>34</v>
      </c>
      <c r="G57" s="45" t="s">
        <v>103</v>
      </c>
      <c r="H57" s="45" t="s">
        <v>104</v>
      </c>
      <c r="I57" s="46">
        <v>279</v>
      </c>
      <c r="J57" s="46" t="s">
        <v>27</v>
      </c>
      <c r="K57" s="103">
        <v>3</v>
      </c>
      <c r="L57" s="47" t="s">
        <v>141</v>
      </c>
      <c r="M57" s="46" t="s">
        <v>18</v>
      </c>
      <c r="N57" s="46" t="s">
        <v>19</v>
      </c>
      <c r="O57" s="47" t="s">
        <v>35</v>
      </c>
      <c r="P57" s="47" t="s">
        <v>142</v>
      </c>
      <c r="Q57" s="55" t="s">
        <v>143</v>
      </c>
    </row>
    <row r="58" spans="2:17" s="76" customFormat="1" ht="54" x14ac:dyDescent="0.3">
      <c r="B58" s="104">
        <f t="shared" si="0"/>
        <v>53</v>
      </c>
      <c r="C58" s="62" t="s">
        <v>14</v>
      </c>
      <c r="D58" s="62" t="s">
        <v>15</v>
      </c>
      <c r="E58" s="62" t="s">
        <v>16</v>
      </c>
      <c r="F58" s="63" t="s">
        <v>34</v>
      </c>
      <c r="G58" s="64" t="s">
        <v>282</v>
      </c>
      <c r="H58" s="64" t="s">
        <v>283</v>
      </c>
      <c r="I58" s="65" t="s">
        <v>474</v>
      </c>
      <c r="J58" s="65" t="s">
        <v>458</v>
      </c>
      <c r="K58" s="103">
        <v>6</v>
      </c>
      <c r="L58" s="66" t="s">
        <v>531</v>
      </c>
      <c r="M58" s="65" t="s">
        <v>18</v>
      </c>
      <c r="N58" s="65" t="s">
        <v>131</v>
      </c>
      <c r="O58" s="66" t="s">
        <v>725</v>
      </c>
      <c r="P58" s="66" t="s">
        <v>726</v>
      </c>
      <c r="Q58" s="75" t="s">
        <v>727</v>
      </c>
    </row>
    <row r="59" spans="2:17" s="76" customFormat="1" ht="94.5" x14ac:dyDescent="0.3">
      <c r="B59" s="104">
        <f t="shared" si="0"/>
        <v>54</v>
      </c>
      <c r="C59" s="62" t="s">
        <v>14</v>
      </c>
      <c r="D59" s="62" t="s">
        <v>15</v>
      </c>
      <c r="E59" s="62" t="s">
        <v>284</v>
      </c>
      <c r="F59" s="63" t="s">
        <v>34</v>
      </c>
      <c r="G59" s="64" t="s">
        <v>285</v>
      </c>
      <c r="H59" s="64" t="s">
        <v>286</v>
      </c>
      <c r="I59" s="65" t="s">
        <v>454</v>
      </c>
      <c r="J59" s="65" t="s">
        <v>458</v>
      </c>
      <c r="K59" s="103">
        <v>2</v>
      </c>
      <c r="L59" s="66" t="s">
        <v>532</v>
      </c>
      <c r="M59" s="65" t="s">
        <v>18</v>
      </c>
      <c r="N59" s="65" t="s">
        <v>19</v>
      </c>
      <c r="O59" s="66" t="s">
        <v>20</v>
      </c>
      <c r="P59" s="66" t="s">
        <v>728</v>
      </c>
      <c r="Q59" s="75" t="s">
        <v>729</v>
      </c>
    </row>
    <row r="60" spans="2:17" s="76" customFormat="1" ht="148.5" x14ac:dyDescent="0.3">
      <c r="B60" s="104">
        <f t="shared" si="0"/>
        <v>55</v>
      </c>
      <c r="C60" s="44" t="s">
        <v>14</v>
      </c>
      <c r="D60" s="44" t="s">
        <v>21</v>
      </c>
      <c r="E60" s="44" t="s">
        <v>16</v>
      </c>
      <c r="F60" s="53" t="s">
        <v>36</v>
      </c>
      <c r="G60" s="45" t="s">
        <v>900</v>
      </c>
      <c r="H60" s="45" t="s">
        <v>105</v>
      </c>
      <c r="I60" s="46">
        <v>12</v>
      </c>
      <c r="J60" s="46">
        <v>31</v>
      </c>
      <c r="K60" s="103">
        <v>4</v>
      </c>
      <c r="L60" s="47" t="s">
        <v>144</v>
      </c>
      <c r="M60" s="46" t="s">
        <v>18</v>
      </c>
      <c r="N60" s="46" t="s">
        <v>19</v>
      </c>
      <c r="O60" s="47" t="s">
        <v>33</v>
      </c>
      <c r="P60" s="47" t="s">
        <v>145</v>
      </c>
      <c r="Q60" s="55" t="s">
        <v>146</v>
      </c>
    </row>
    <row r="61" spans="2:17" s="76" customFormat="1" ht="108" x14ac:dyDescent="0.3">
      <c r="B61" s="104">
        <f t="shared" si="0"/>
        <v>56</v>
      </c>
      <c r="C61" s="62" t="s">
        <v>14</v>
      </c>
      <c r="D61" s="62" t="s">
        <v>21</v>
      </c>
      <c r="E61" s="62" t="s">
        <v>16</v>
      </c>
      <c r="F61" s="63" t="s">
        <v>36</v>
      </c>
      <c r="G61" s="64" t="s">
        <v>287</v>
      </c>
      <c r="H61" s="64" t="s">
        <v>288</v>
      </c>
      <c r="I61" s="65">
        <v>411</v>
      </c>
      <c r="J61" s="65" t="s">
        <v>454</v>
      </c>
      <c r="K61" s="103">
        <v>10</v>
      </c>
      <c r="L61" s="69" t="s">
        <v>533</v>
      </c>
      <c r="M61" s="65" t="s">
        <v>18</v>
      </c>
      <c r="N61" s="65" t="s">
        <v>19</v>
      </c>
      <c r="O61" s="66" t="s">
        <v>33</v>
      </c>
      <c r="P61" s="66" t="s">
        <v>730</v>
      </c>
      <c r="Q61" s="75" t="s">
        <v>731</v>
      </c>
    </row>
    <row r="62" spans="2:17" s="76" customFormat="1" ht="121.5" x14ac:dyDescent="0.3">
      <c r="B62" s="104">
        <f t="shared" si="0"/>
        <v>57</v>
      </c>
      <c r="C62" s="62" t="s">
        <v>14</v>
      </c>
      <c r="D62" s="62" t="s">
        <v>15</v>
      </c>
      <c r="E62" s="62" t="s">
        <v>16</v>
      </c>
      <c r="F62" s="63" t="s">
        <v>289</v>
      </c>
      <c r="G62" s="64" t="s">
        <v>290</v>
      </c>
      <c r="H62" s="64" t="s">
        <v>291</v>
      </c>
      <c r="I62" s="65">
        <v>275</v>
      </c>
      <c r="J62" s="65" t="s">
        <v>467</v>
      </c>
      <c r="K62" s="103">
        <v>2</v>
      </c>
      <c r="L62" s="66" t="s">
        <v>534</v>
      </c>
      <c r="M62" s="65" t="s">
        <v>18</v>
      </c>
      <c r="N62" s="65" t="s">
        <v>19</v>
      </c>
      <c r="O62" s="66" t="s">
        <v>37</v>
      </c>
      <c r="P62" s="66" t="s">
        <v>732</v>
      </c>
      <c r="Q62" s="75" t="s">
        <v>733</v>
      </c>
    </row>
    <row r="63" spans="2:17" s="76" customFormat="1" ht="81" x14ac:dyDescent="0.3">
      <c r="B63" s="104">
        <f t="shared" si="0"/>
        <v>58</v>
      </c>
      <c r="C63" s="62" t="s">
        <v>14</v>
      </c>
      <c r="D63" s="62" t="s">
        <v>15</v>
      </c>
      <c r="E63" s="62" t="s">
        <v>16</v>
      </c>
      <c r="F63" s="63" t="s">
        <v>292</v>
      </c>
      <c r="G63" s="64" t="s">
        <v>293</v>
      </c>
      <c r="H63" s="64" t="s">
        <v>294</v>
      </c>
      <c r="I63" s="65">
        <v>367</v>
      </c>
      <c r="J63" s="65" t="s">
        <v>455</v>
      </c>
      <c r="K63" s="103">
        <v>2</v>
      </c>
      <c r="L63" s="66" t="s">
        <v>535</v>
      </c>
      <c r="M63" s="65" t="s">
        <v>18</v>
      </c>
      <c r="N63" s="65" t="s">
        <v>19</v>
      </c>
      <c r="O63" s="66" t="s">
        <v>734</v>
      </c>
      <c r="P63" s="66" t="s">
        <v>735</v>
      </c>
      <c r="Q63" s="75" t="s">
        <v>736</v>
      </c>
    </row>
    <row r="64" spans="2:17" s="76" customFormat="1" ht="81" x14ac:dyDescent="0.3">
      <c r="B64" s="104">
        <f t="shared" si="0"/>
        <v>59</v>
      </c>
      <c r="C64" s="62" t="s">
        <v>14</v>
      </c>
      <c r="D64" s="62" t="s">
        <v>15</v>
      </c>
      <c r="E64" s="62" t="s">
        <v>295</v>
      </c>
      <c r="F64" s="63" t="s">
        <v>296</v>
      </c>
      <c r="G64" s="64" t="s">
        <v>297</v>
      </c>
      <c r="H64" s="64" t="s">
        <v>298</v>
      </c>
      <c r="I64" s="65" t="s">
        <v>468</v>
      </c>
      <c r="J64" s="65" t="s">
        <v>458</v>
      </c>
      <c r="K64" s="103">
        <v>2</v>
      </c>
      <c r="L64" s="66" t="s">
        <v>536</v>
      </c>
      <c r="M64" s="65" t="s">
        <v>18</v>
      </c>
      <c r="N64" s="65" t="s">
        <v>19</v>
      </c>
      <c r="O64" s="66" t="s">
        <v>33</v>
      </c>
      <c r="P64" s="66" t="s">
        <v>737</v>
      </c>
      <c r="Q64" s="75" t="s">
        <v>738</v>
      </c>
    </row>
    <row r="65" spans="2:17" s="76" customFormat="1" ht="229.5" x14ac:dyDescent="0.3">
      <c r="B65" s="104">
        <f t="shared" si="0"/>
        <v>60</v>
      </c>
      <c r="C65" s="62" t="s">
        <v>14</v>
      </c>
      <c r="D65" s="62" t="s">
        <v>15</v>
      </c>
      <c r="E65" s="62" t="s">
        <v>16</v>
      </c>
      <c r="F65" s="63" t="s">
        <v>108</v>
      </c>
      <c r="G65" s="64" t="s">
        <v>299</v>
      </c>
      <c r="H65" s="64" t="s">
        <v>300</v>
      </c>
      <c r="I65" s="65" t="s">
        <v>474</v>
      </c>
      <c r="J65" s="65" t="s">
        <v>474</v>
      </c>
      <c r="K65" s="103">
        <v>4</v>
      </c>
      <c r="L65" s="66" t="s">
        <v>537</v>
      </c>
      <c r="M65" s="65" t="s">
        <v>18</v>
      </c>
      <c r="N65" s="65" t="s">
        <v>19</v>
      </c>
      <c r="O65" s="66" t="s">
        <v>739</v>
      </c>
      <c r="P65" s="66" t="s">
        <v>740</v>
      </c>
      <c r="Q65" s="75" t="s">
        <v>741</v>
      </c>
    </row>
    <row r="66" spans="2:17" s="76" customFormat="1" ht="121.5" x14ac:dyDescent="0.3">
      <c r="B66" s="104">
        <f t="shared" si="0"/>
        <v>61</v>
      </c>
      <c r="C66" s="44" t="s">
        <v>14</v>
      </c>
      <c r="D66" s="44" t="s">
        <v>15</v>
      </c>
      <c r="E66" s="44" t="s">
        <v>16</v>
      </c>
      <c r="F66" s="53" t="s">
        <v>108</v>
      </c>
      <c r="G66" s="45" t="s">
        <v>109</v>
      </c>
      <c r="H66" s="45" t="s">
        <v>110</v>
      </c>
      <c r="I66" s="46">
        <v>273</v>
      </c>
      <c r="J66" s="46" t="s">
        <v>28</v>
      </c>
      <c r="K66" s="103">
        <v>4</v>
      </c>
      <c r="L66" s="48" t="s">
        <v>538</v>
      </c>
      <c r="M66" s="46" t="s">
        <v>18</v>
      </c>
      <c r="N66" s="46" t="s">
        <v>19</v>
      </c>
      <c r="O66" s="47" t="s">
        <v>35</v>
      </c>
      <c r="P66" s="47" t="s">
        <v>151</v>
      </c>
      <c r="Q66" s="55" t="s">
        <v>152</v>
      </c>
    </row>
    <row r="67" spans="2:17" s="76" customFormat="1" ht="108" x14ac:dyDescent="0.3">
      <c r="B67" s="104">
        <f t="shared" si="0"/>
        <v>62</v>
      </c>
      <c r="C67" s="62" t="s">
        <v>14</v>
      </c>
      <c r="D67" s="62" t="s">
        <v>15</v>
      </c>
      <c r="E67" s="62" t="s">
        <v>16</v>
      </c>
      <c r="F67" s="63" t="s">
        <v>301</v>
      </c>
      <c r="G67" s="64" t="s">
        <v>302</v>
      </c>
      <c r="H67" s="64" t="s">
        <v>303</v>
      </c>
      <c r="I67" s="65">
        <v>230</v>
      </c>
      <c r="J67" s="65" t="s">
        <v>466</v>
      </c>
      <c r="K67" s="103">
        <v>4</v>
      </c>
      <c r="L67" s="66" t="s">
        <v>905</v>
      </c>
      <c r="M67" s="65" t="s">
        <v>18</v>
      </c>
      <c r="N67" s="65" t="s">
        <v>131</v>
      </c>
      <c r="O67" s="66" t="s">
        <v>742</v>
      </c>
      <c r="P67" s="66" t="s">
        <v>743</v>
      </c>
      <c r="Q67" s="75" t="s">
        <v>744</v>
      </c>
    </row>
    <row r="68" spans="2:17" s="76" customFormat="1" ht="81" x14ac:dyDescent="0.3">
      <c r="B68" s="104">
        <f t="shared" si="0"/>
        <v>63</v>
      </c>
      <c r="C68" s="62" t="s">
        <v>14</v>
      </c>
      <c r="D68" s="62" t="s">
        <v>15</v>
      </c>
      <c r="E68" s="62" t="s">
        <v>16</v>
      </c>
      <c r="F68" s="63" t="s">
        <v>108</v>
      </c>
      <c r="G68" s="64" t="s">
        <v>304</v>
      </c>
      <c r="H68" s="64" t="s">
        <v>305</v>
      </c>
      <c r="I68" s="65">
        <v>438</v>
      </c>
      <c r="J68" s="65" t="s">
        <v>455</v>
      </c>
      <c r="K68" s="103">
        <v>2</v>
      </c>
      <c r="L68" s="66" t="s">
        <v>539</v>
      </c>
      <c r="M68" s="65" t="s">
        <v>18</v>
      </c>
      <c r="N68" s="65" t="s">
        <v>19</v>
      </c>
      <c r="O68" s="66" t="s">
        <v>745</v>
      </c>
      <c r="P68" s="66" t="s">
        <v>746</v>
      </c>
      <c r="Q68" s="75" t="s">
        <v>747</v>
      </c>
    </row>
    <row r="69" spans="2:17" s="76" customFormat="1" ht="81" x14ac:dyDescent="0.3">
      <c r="B69" s="104">
        <f t="shared" si="0"/>
        <v>64</v>
      </c>
      <c r="C69" s="62" t="s">
        <v>14</v>
      </c>
      <c r="D69" s="62" t="s">
        <v>15</v>
      </c>
      <c r="E69" s="62" t="s">
        <v>16</v>
      </c>
      <c r="F69" s="63" t="s">
        <v>306</v>
      </c>
      <c r="G69" s="64" t="s">
        <v>307</v>
      </c>
      <c r="H69" s="64" t="s">
        <v>308</v>
      </c>
      <c r="I69" s="65">
        <v>322</v>
      </c>
      <c r="J69" s="65" t="s">
        <v>455</v>
      </c>
      <c r="K69" s="103">
        <v>5</v>
      </c>
      <c r="L69" s="69" t="s">
        <v>540</v>
      </c>
      <c r="M69" s="65" t="s">
        <v>18</v>
      </c>
      <c r="N69" s="65" t="s">
        <v>19</v>
      </c>
      <c r="O69" s="66" t="s">
        <v>748</v>
      </c>
      <c r="P69" s="66" t="s">
        <v>749</v>
      </c>
      <c r="Q69" s="75" t="s">
        <v>750</v>
      </c>
    </row>
    <row r="70" spans="2:17" s="76" customFormat="1" ht="121.5" x14ac:dyDescent="0.3">
      <c r="B70" s="104">
        <f t="shared" si="0"/>
        <v>65</v>
      </c>
      <c r="C70" s="62" t="s">
        <v>14</v>
      </c>
      <c r="D70" s="62" t="s">
        <v>15</v>
      </c>
      <c r="E70" s="62" t="s">
        <v>16</v>
      </c>
      <c r="F70" s="63" t="s">
        <v>309</v>
      </c>
      <c r="G70" s="64" t="s">
        <v>310</v>
      </c>
      <c r="H70" s="64" t="s">
        <v>311</v>
      </c>
      <c r="I70" s="65" t="s">
        <v>454</v>
      </c>
      <c r="J70" s="65" t="s">
        <v>454</v>
      </c>
      <c r="K70" s="103">
        <v>2</v>
      </c>
      <c r="L70" s="66" t="s">
        <v>541</v>
      </c>
      <c r="M70" s="65" t="s">
        <v>18</v>
      </c>
      <c r="N70" s="65" t="s">
        <v>19</v>
      </c>
      <c r="O70" s="66" t="s">
        <v>622</v>
      </c>
      <c r="P70" s="66" t="s">
        <v>751</v>
      </c>
      <c r="Q70" s="75" t="s">
        <v>752</v>
      </c>
    </row>
    <row r="71" spans="2:17" s="76" customFormat="1" ht="81" x14ac:dyDescent="0.3">
      <c r="B71" s="104">
        <f t="shared" ref="B71:B132" si="1">ROW()-5</f>
        <v>66</v>
      </c>
      <c r="C71" s="62" t="s">
        <v>14</v>
      </c>
      <c r="D71" s="62" t="s">
        <v>15</v>
      </c>
      <c r="E71" s="62" t="s">
        <v>16</v>
      </c>
      <c r="F71" s="63" t="s">
        <v>312</v>
      </c>
      <c r="G71" s="64" t="s">
        <v>313</v>
      </c>
      <c r="H71" s="64" t="s">
        <v>314</v>
      </c>
      <c r="I71" s="65">
        <v>538</v>
      </c>
      <c r="J71" s="65" t="s">
        <v>459</v>
      </c>
      <c r="K71" s="103">
        <v>2</v>
      </c>
      <c r="L71" s="66" t="s">
        <v>542</v>
      </c>
      <c r="M71" s="65" t="s">
        <v>18</v>
      </c>
      <c r="N71" s="65" t="s">
        <v>19</v>
      </c>
      <c r="O71" s="66" t="s">
        <v>753</v>
      </c>
      <c r="P71" s="66" t="s">
        <v>754</v>
      </c>
      <c r="Q71" s="75" t="s">
        <v>755</v>
      </c>
    </row>
    <row r="72" spans="2:17" s="76" customFormat="1" ht="108" x14ac:dyDescent="0.3">
      <c r="B72" s="104">
        <f t="shared" si="1"/>
        <v>67</v>
      </c>
      <c r="C72" s="62" t="s">
        <v>14</v>
      </c>
      <c r="D72" s="62" t="s">
        <v>15</v>
      </c>
      <c r="E72" s="62" t="s">
        <v>315</v>
      </c>
      <c r="F72" s="63" t="s">
        <v>312</v>
      </c>
      <c r="G72" s="64" t="s">
        <v>316</v>
      </c>
      <c r="H72" s="64" t="s">
        <v>317</v>
      </c>
      <c r="I72" s="65" t="s">
        <v>454</v>
      </c>
      <c r="J72" s="65" t="s">
        <v>454</v>
      </c>
      <c r="K72" s="103">
        <v>2</v>
      </c>
      <c r="L72" s="66" t="s">
        <v>543</v>
      </c>
      <c r="M72" s="65" t="s">
        <v>18</v>
      </c>
      <c r="N72" s="65" t="s">
        <v>19</v>
      </c>
      <c r="O72" s="66" t="s">
        <v>756</v>
      </c>
      <c r="P72" s="66" t="s">
        <v>757</v>
      </c>
      <c r="Q72" s="106" t="s">
        <v>758</v>
      </c>
    </row>
    <row r="73" spans="2:17" s="76" customFormat="1" ht="67.5" x14ac:dyDescent="0.3">
      <c r="B73" s="104">
        <f t="shared" si="1"/>
        <v>68</v>
      </c>
      <c r="C73" s="62" t="s">
        <v>14</v>
      </c>
      <c r="D73" s="62" t="s">
        <v>21</v>
      </c>
      <c r="E73" s="62" t="s">
        <v>16</v>
      </c>
      <c r="F73" s="63" t="s">
        <v>318</v>
      </c>
      <c r="G73" s="64" t="s">
        <v>319</v>
      </c>
      <c r="H73" s="64" t="s">
        <v>320</v>
      </c>
      <c r="I73" s="65">
        <v>185</v>
      </c>
      <c r="J73" s="65" t="s">
        <v>167</v>
      </c>
      <c r="K73" s="103">
        <v>4</v>
      </c>
      <c r="L73" s="66" t="s">
        <v>544</v>
      </c>
      <c r="M73" s="65" t="s">
        <v>18</v>
      </c>
      <c r="N73" s="65" t="s">
        <v>19</v>
      </c>
      <c r="O73" s="66" t="s">
        <v>759</v>
      </c>
      <c r="P73" s="66" t="s">
        <v>726</v>
      </c>
      <c r="Q73" s="75" t="s">
        <v>760</v>
      </c>
    </row>
    <row r="74" spans="2:17" s="76" customFormat="1" ht="229.5" x14ac:dyDescent="0.3">
      <c r="B74" s="104">
        <f t="shared" si="1"/>
        <v>69</v>
      </c>
      <c r="C74" s="70" t="s">
        <v>14</v>
      </c>
      <c r="D74" s="70" t="s">
        <v>21</v>
      </c>
      <c r="E74" s="70" t="s">
        <v>38</v>
      </c>
      <c r="F74" s="70" t="s">
        <v>39</v>
      </c>
      <c r="G74" s="72" t="s">
        <v>321</v>
      </c>
      <c r="H74" s="72" t="s">
        <v>322</v>
      </c>
      <c r="I74" s="73" t="s">
        <v>465</v>
      </c>
      <c r="J74" s="73" t="s">
        <v>475</v>
      </c>
      <c r="K74" s="103">
        <v>2</v>
      </c>
      <c r="L74" s="69" t="s">
        <v>545</v>
      </c>
      <c r="M74" s="73" t="s">
        <v>24</v>
      </c>
      <c r="N74" s="73" t="s">
        <v>19</v>
      </c>
      <c r="O74" s="69" t="s">
        <v>761</v>
      </c>
      <c r="P74" s="69" t="s">
        <v>762</v>
      </c>
      <c r="Q74" s="106" t="s">
        <v>763</v>
      </c>
    </row>
    <row r="75" spans="2:17" s="76" customFormat="1" ht="135" x14ac:dyDescent="0.3">
      <c r="B75" s="104">
        <f t="shared" si="1"/>
        <v>70</v>
      </c>
      <c r="C75" s="62" t="s">
        <v>14</v>
      </c>
      <c r="D75" s="62" t="s">
        <v>21</v>
      </c>
      <c r="E75" s="62" t="s">
        <v>38</v>
      </c>
      <c r="F75" s="63" t="s">
        <v>39</v>
      </c>
      <c r="G75" s="64" t="s">
        <v>323</v>
      </c>
      <c r="H75" s="72" t="s">
        <v>324</v>
      </c>
      <c r="I75" s="65">
        <v>213</v>
      </c>
      <c r="J75" s="65" t="s">
        <v>476</v>
      </c>
      <c r="K75" s="103">
        <v>1</v>
      </c>
      <c r="L75" s="66" t="s">
        <v>546</v>
      </c>
      <c r="M75" s="65" t="s">
        <v>18</v>
      </c>
      <c r="N75" s="65" t="s">
        <v>19</v>
      </c>
      <c r="O75" s="66" t="s">
        <v>764</v>
      </c>
      <c r="P75" s="69" t="s">
        <v>765</v>
      </c>
      <c r="Q75" s="75" t="s">
        <v>766</v>
      </c>
    </row>
    <row r="76" spans="2:17" s="76" customFormat="1" ht="67.5" x14ac:dyDescent="0.3">
      <c r="B76" s="104">
        <f t="shared" si="1"/>
        <v>71</v>
      </c>
      <c r="C76" s="62" t="s">
        <v>14</v>
      </c>
      <c r="D76" s="62" t="s">
        <v>21</v>
      </c>
      <c r="E76" s="62" t="s">
        <v>38</v>
      </c>
      <c r="F76" s="63" t="s">
        <v>39</v>
      </c>
      <c r="G76" s="64" t="s">
        <v>325</v>
      </c>
      <c r="H76" s="64" t="s">
        <v>326</v>
      </c>
      <c r="I76" s="65" t="s">
        <v>454</v>
      </c>
      <c r="J76" s="65" t="s">
        <v>474</v>
      </c>
      <c r="K76" s="103">
        <v>2</v>
      </c>
      <c r="L76" s="66" t="s">
        <v>547</v>
      </c>
      <c r="M76" s="65" t="s">
        <v>18</v>
      </c>
      <c r="N76" s="65" t="s">
        <v>19</v>
      </c>
      <c r="O76" s="66" t="s">
        <v>764</v>
      </c>
      <c r="P76" s="83" t="s">
        <v>767</v>
      </c>
      <c r="Q76" s="75" t="s">
        <v>768</v>
      </c>
    </row>
    <row r="77" spans="2:17" s="76" customFormat="1" ht="54" x14ac:dyDescent="0.3">
      <c r="B77" s="104">
        <f t="shared" si="1"/>
        <v>72</v>
      </c>
      <c r="C77" s="62" t="s">
        <v>14</v>
      </c>
      <c r="D77" s="62" t="s">
        <v>21</v>
      </c>
      <c r="E77" s="62" t="s">
        <v>327</v>
      </c>
      <c r="F77" s="63" t="s">
        <v>39</v>
      </c>
      <c r="G77" s="64" t="s">
        <v>328</v>
      </c>
      <c r="H77" s="64" t="s">
        <v>329</v>
      </c>
      <c r="I77" s="65" t="s">
        <v>477</v>
      </c>
      <c r="J77" s="65" t="s">
        <v>460</v>
      </c>
      <c r="K77" s="103">
        <v>3</v>
      </c>
      <c r="L77" s="66" t="s">
        <v>548</v>
      </c>
      <c r="M77" s="65" t="s">
        <v>24</v>
      </c>
      <c r="N77" s="65" t="s">
        <v>19</v>
      </c>
      <c r="O77" s="69" t="s">
        <v>764</v>
      </c>
      <c r="P77" s="69" t="s">
        <v>769</v>
      </c>
      <c r="Q77" s="75" t="s">
        <v>770</v>
      </c>
    </row>
    <row r="78" spans="2:17" s="76" customFormat="1" ht="67.5" x14ac:dyDescent="0.3">
      <c r="B78" s="104">
        <f t="shared" si="1"/>
        <v>73</v>
      </c>
      <c r="C78" s="62" t="s">
        <v>95</v>
      </c>
      <c r="D78" s="62" t="s">
        <v>111</v>
      </c>
      <c r="E78" s="62" t="s">
        <v>327</v>
      </c>
      <c r="F78" s="62" t="s">
        <v>113</v>
      </c>
      <c r="G78" s="84" t="s">
        <v>330</v>
      </c>
      <c r="H78" s="85" t="s">
        <v>331</v>
      </c>
      <c r="I78" s="62" t="s">
        <v>463</v>
      </c>
      <c r="J78" s="62" t="s">
        <v>463</v>
      </c>
      <c r="K78" s="103">
        <v>2</v>
      </c>
      <c r="L78" s="68" t="s">
        <v>549</v>
      </c>
      <c r="M78" s="62" t="s">
        <v>130</v>
      </c>
      <c r="N78" s="62" t="s">
        <v>131</v>
      </c>
      <c r="O78" s="86" t="s">
        <v>771</v>
      </c>
      <c r="P78" s="86" t="s">
        <v>772</v>
      </c>
      <c r="Q78" s="108" t="s">
        <v>773</v>
      </c>
    </row>
    <row r="79" spans="2:17" s="82" customFormat="1" ht="67.5" x14ac:dyDescent="0.3">
      <c r="B79" s="104">
        <f t="shared" si="1"/>
        <v>74</v>
      </c>
      <c r="C79" s="62" t="s">
        <v>14</v>
      </c>
      <c r="D79" s="62" t="s">
        <v>21</v>
      </c>
      <c r="E79" s="62" t="s">
        <v>332</v>
      </c>
      <c r="F79" s="63" t="s">
        <v>39</v>
      </c>
      <c r="G79" s="64" t="s">
        <v>333</v>
      </c>
      <c r="H79" s="64" t="s">
        <v>334</v>
      </c>
      <c r="I79" s="65" t="s">
        <v>454</v>
      </c>
      <c r="J79" s="65" t="s">
        <v>454</v>
      </c>
      <c r="K79" s="103">
        <v>2</v>
      </c>
      <c r="L79" s="66" t="s">
        <v>550</v>
      </c>
      <c r="M79" s="65" t="s">
        <v>18</v>
      </c>
      <c r="N79" s="65" t="s">
        <v>19</v>
      </c>
      <c r="O79" s="66" t="s">
        <v>774</v>
      </c>
      <c r="P79" s="66" t="s">
        <v>775</v>
      </c>
      <c r="Q79" s="75" t="s">
        <v>776</v>
      </c>
    </row>
    <row r="80" spans="2:17" s="82" customFormat="1" ht="94.5" x14ac:dyDescent="0.3">
      <c r="B80" s="104">
        <f t="shared" si="1"/>
        <v>75</v>
      </c>
      <c r="C80" s="62" t="s">
        <v>14</v>
      </c>
      <c r="D80" s="62" t="s">
        <v>21</v>
      </c>
      <c r="E80" s="62" t="s">
        <v>38</v>
      </c>
      <c r="F80" s="63" t="s">
        <v>39</v>
      </c>
      <c r="G80" s="72" t="s">
        <v>335</v>
      </c>
      <c r="H80" s="64" t="s">
        <v>336</v>
      </c>
      <c r="I80" s="65" t="s">
        <v>454</v>
      </c>
      <c r="J80" s="65" t="s">
        <v>460</v>
      </c>
      <c r="K80" s="103">
        <v>1</v>
      </c>
      <c r="L80" s="69" t="s">
        <v>551</v>
      </c>
      <c r="M80" s="65" t="s">
        <v>18</v>
      </c>
      <c r="N80" s="65" t="s">
        <v>19</v>
      </c>
      <c r="O80" s="66" t="s">
        <v>774</v>
      </c>
      <c r="P80" s="66" t="s">
        <v>777</v>
      </c>
      <c r="Q80" s="75" t="s">
        <v>778</v>
      </c>
    </row>
    <row r="81" spans="2:17" s="76" customFormat="1" ht="121.5" x14ac:dyDescent="0.3">
      <c r="B81" s="104">
        <f t="shared" si="1"/>
        <v>76</v>
      </c>
      <c r="C81" s="62" t="s">
        <v>14</v>
      </c>
      <c r="D81" s="62" t="s">
        <v>21</v>
      </c>
      <c r="E81" s="62" t="s">
        <v>38</v>
      </c>
      <c r="F81" s="63" t="s">
        <v>39</v>
      </c>
      <c r="G81" s="64" t="s">
        <v>337</v>
      </c>
      <c r="H81" s="64" t="s">
        <v>338</v>
      </c>
      <c r="I81" s="65" t="s">
        <v>454</v>
      </c>
      <c r="J81" s="65" t="s">
        <v>460</v>
      </c>
      <c r="K81" s="103">
        <v>2</v>
      </c>
      <c r="L81" s="66" t="s">
        <v>552</v>
      </c>
      <c r="M81" s="65" t="s">
        <v>18</v>
      </c>
      <c r="N81" s="65" t="s">
        <v>19</v>
      </c>
      <c r="O81" s="66" t="s">
        <v>625</v>
      </c>
      <c r="P81" s="66" t="s">
        <v>779</v>
      </c>
      <c r="Q81" s="75" t="s">
        <v>780</v>
      </c>
    </row>
    <row r="82" spans="2:17" s="76" customFormat="1" ht="94.5" x14ac:dyDescent="0.3">
      <c r="B82" s="104">
        <f t="shared" si="1"/>
        <v>77</v>
      </c>
      <c r="C82" s="62" t="s">
        <v>14</v>
      </c>
      <c r="D82" s="62" t="s">
        <v>21</v>
      </c>
      <c r="E82" s="62" t="s">
        <v>38</v>
      </c>
      <c r="F82" s="63" t="s">
        <v>39</v>
      </c>
      <c r="G82" s="64" t="s">
        <v>339</v>
      </c>
      <c r="H82" s="64" t="s">
        <v>340</v>
      </c>
      <c r="I82" s="65" t="s">
        <v>454</v>
      </c>
      <c r="J82" s="65" t="s">
        <v>460</v>
      </c>
      <c r="K82" s="103">
        <v>6</v>
      </c>
      <c r="L82" s="66" t="s">
        <v>553</v>
      </c>
      <c r="M82" s="65" t="s">
        <v>24</v>
      </c>
      <c r="N82" s="65" t="s">
        <v>19</v>
      </c>
      <c r="O82" s="66" t="s">
        <v>781</v>
      </c>
      <c r="P82" s="66" t="s">
        <v>782</v>
      </c>
      <c r="Q82" s="75" t="s">
        <v>783</v>
      </c>
    </row>
    <row r="83" spans="2:17" s="76" customFormat="1" ht="324" x14ac:dyDescent="0.3">
      <c r="B83" s="104">
        <f t="shared" si="1"/>
        <v>78</v>
      </c>
      <c r="C83" s="62" t="s">
        <v>14</v>
      </c>
      <c r="D83" s="62" t="s">
        <v>21</v>
      </c>
      <c r="E83" s="62" t="s">
        <v>112</v>
      </c>
      <c r="F83" s="63" t="s">
        <v>39</v>
      </c>
      <c r="G83" s="64" t="s">
        <v>341</v>
      </c>
      <c r="H83" s="64" t="s">
        <v>342</v>
      </c>
      <c r="I83" s="65" t="s">
        <v>454</v>
      </c>
      <c r="J83" s="65" t="s">
        <v>460</v>
      </c>
      <c r="K83" s="103">
        <v>3</v>
      </c>
      <c r="L83" s="66" t="s">
        <v>554</v>
      </c>
      <c r="M83" s="65" t="s">
        <v>616</v>
      </c>
      <c r="N83" s="65" t="s">
        <v>19</v>
      </c>
      <c r="O83" s="66" t="s">
        <v>764</v>
      </c>
      <c r="P83" s="66" t="s">
        <v>784</v>
      </c>
      <c r="Q83" s="75" t="s">
        <v>785</v>
      </c>
    </row>
    <row r="84" spans="2:17" s="76" customFormat="1" ht="67.5" x14ac:dyDescent="0.3">
      <c r="B84" s="104">
        <f t="shared" si="1"/>
        <v>79</v>
      </c>
      <c r="C84" s="62" t="s">
        <v>14</v>
      </c>
      <c r="D84" s="62" t="s">
        <v>21</v>
      </c>
      <c r="E84" s="62" t="s">
        <v>38</v>
      </c>
      <c r="F84" s="63" t="s">
        <v>39</v>
      </c>
      <c r="G84" s="64" t="s">
        <v>343</v>
      </c>
      <c r="H84" s="64" t="s">
        <v>344</v>
      </c>
      <c r="I84" s="65" t="s">
        <v>454</v>
      </c>
      <c r="J84" s="65" t="s">
        <v>454</v>
      </c>
      <c r="K84" s="103">
        <v>1</v>
      </c>
      <c r="L84" s="69" t="s">
        <v>555</v>
      </c>
      <c r="M84" s="65" t="s">
        <v>18</v>
      </c>
      <c r="N84" s="65" t="s">
        <v>19</v>
      </c>
      <c r="O84" s="66" t="s">
        <v>625</v>
      </c>
      <c r="P84" s="66" t="s">
        <v>726</v>
      </c>
      <c r="Q84" s="75" t="s">
        <v>786</v>
      </c>
    </row>
    <row r="85" spans="2:17" s="76" customFormat="1" ht="94.5" x14ac:dyDescent="0.3">
      <c r="B85" s="104">
        <f t="shared" si="1"/>
        <v>80</v>
      </c>
      <c r="C85" s="62" t="s">
        <v>14</v>
      </c>
      <c r="D85" s="62" t="s">
        <v>21</v>
      </c>
      <c r="E85" s="62" t="s">
        <v>112</v>
      </c>
      <c r="F85" s="63" t="s">
        <v>39</v>
      </c>
      <c r="G85" s="64" t="s">
        <v>345</v>
      </c>
      <c r="H85" s="64" t="s">
        <v>346</v>
      </c>
      <c r="I85" s="65">
        <v>95</v>
      </c>
      <c r="J85" s="65">
        <v>151</v>
      </c>
      <c r="K85" s="103">
        <v>5</v>
      </c>
      <c r="L85" s="66" t="s">
        <v>556</v>
      </c>
      <c r="M85" s="65" t="s">
        <v>40</v>
      </c>
      <c r="N85" s="65" t="s">
        <v>19</v>
      </c>
      <c r="O85" s="66" t="s">
        <v>625</v>
      </c>
      <c r="P85" s="87" t="s">
        <v>787</v>
      </c>
      <c r="Q85" s="75" t="s">
        <v>788</v>
      </c>
    </row>
    <row r="86" spans="2:17" s="76" customFormat="1" ht="121.5" x14ac:dyDescent="0.3">
      <c r="B86" s="104">
        <f t="shared" si="1"/>
        <v>81</v>
      </c>
      <c r="C86" s="62" t="s">
        <v>14</v>
      </c>
      <c r="D86" s="62" t="s">
        <v>21</v>
      </c>
      <c r="E86" s="62" t="s">
        <v>38</v>
      </c>
      <c r="F86" s="63" t="s">
        <v>39</v>
      </c>
      <c r="G86" s="64" t="s">
        <v>347</v>
      </c>
      <c r="H86" s="64" t="s">
        <v>348</v>
      </c>
      <c r="I86" s="65" t="s">
        <v>454</v>
      </c>
      <c r="J86" s="65" t="s">
        <v>460</v>
      </c>
      <c r="K86" s="103">
        <v>3</v>
      </c>
      <c r="L86" s="66" t="s">
        <v>557</v>
      </c>
      <c r="M86" s="65" t="s">
        <v>18</v>
      </c>
      <c r="N86" s="65" t="s">
        <v>19</v>
      </c>
      <c r="O86" s="66" t="s">
        <v>625</v>
      </c>
      <c r="P86" s="66" t="s">
        <v>789</v>
      </c>
      <c r="Q86" s="75" t="s">
        <v>790</v>
      </c>
    </row>
    <row r="87" spans="2:17" s="76" customFormat="1" ht="243" x14ac:dyDescent="0.3">
      <c r="B87" s="104">
        <f t="shared" si="1"/>
        <v>82</v>
      </c>
      <c r="C87" s="62" t="s">
        <v>14</v>
      </c>
      <c r="D87" s="62" t="s">
        <v>111</v>
      </c>
      <c r="E87" s="62" t="s">
        <v>112</v>
      </c>
      <c r="F87" s="63" t="s">
        <v>113</v>
      </c>
      <c r="G87" s="64" t="s">
        <v>349</v>
      </c>
      <c r="H87" s="64" t="s">
        <v>350</v>
      </c>
      <c r="I87" s="88" t="s">
        <v>454</v>
      </c>
      <c r="J87" s="65" t="s">
        <v>478</v>
      </c>
      <c r="K87" s="103">
        <v>1</v>
      </c>
      <c r="L87" s="68" t="s">
        <v>558</v>
      </c>
      <c r="M87" s="62" t="s">
        <v>18</v>
      </c>
      <c r="N87" s="65" t="s">
        <v>19</v>
      </c>
      <c r="O87" s="66" t="s">
        <v>791</v>
      </c>
      <c r="P87" s="68" t="s">
        <v>792</v>
      </c>
      <c r="Q87" s="105" t="s">
        <v>793</v>
      </c>
    </row>
    <row r="88" spans="2:17" s="76" customFormat="1" ht="175.5" x14ac:dyDescent="0.3">
      <c r="B88" s="104">
        <f t="shared" si="1"/>
        <v>83</v>
      </c>
      <c r="C88" s="89" t="s">
        <v>14</v>
      </c>
      <c r="D88" s="89" t="s">
        <v>21</v>
      </c>
      <c r="E88" s="89" t="s">
        <v>38</v>
      </c>
      <c r="F88" s="71" t="s">
        <v>39</v>
      </c>
      <c r="G88" s="72" t="s">
        <v>351</v>
      </c>
      <c r="H88" s="72" t="s">
        <v>352</v>
      </c>
      <c r="I88" s="73">
        <v>170</v>
      </c>
      <c r="J88" s="73" t="s">
        <v>455</v>
      </c>
      <c r="K88" s="103">
        <v>4</v>
      </c>
      <c r="L88" s="78" t="s">
        <v>559</v>
      </c>
      <c r="M88" s="90" t="s">
        <v>24</v>
      </c>
      <c r="N88" s="73" t="s">
        <v>19</v>
      </c>
      <c r="O88" s="91" t="s">
        <v>794</v>
      </c>
      <c r="P88" s="78" t="s">
        <v>795</v>
      </c>
      <c r="Q88" s="109" t="s">
        <v>796</v>
      </c>
    </row>
    <row r="89" spans="2:17" s="76" customFormat="1" ht="175.5" x14ac:dyDescent="0.3">
      <c r="B89" s="104">
        <f t="shared" si="1"/>
        <v>84</v>
      </c>
      <c r="C89" s="62" t="s">
        <v>14</v>
      </c>
      <c r="D89" s="62" t="s">
        <v>21</v>
      </c>
      <c r="E89" s="62" t="s">
        <v>332</v>
      </c>
      <c r="F89" s="63" t="s">
        <v>39</v>
      </c>
      <c r="G89" s="64" t="s">
        <v>353</v>
      </c>
      <c r="H89" s="64" t="s">
        <v>354</v>
      </c>
      <c r="I89" s="65" t="s">
        <v>462</v>
      </c>
      <c r="J89" s="65" t="s">
        <v>458</v>
      </c>
      <c r="K89" s="103">
        <v>3</v>
      </c>
      <c r="L89" s="66" t="s">
        <v>560</v>
      </c>
      <c r="M89" s="65" t="s">
        <v>24</v>
      </c>
      <c r="N89" s="65" t="s">
        <v>131</v>
      </c>
      <c r="O89" s="66" t="s">
        <v>764</v>
      </c>
      <c r="P89" s="66" t="s">
        <v>797</v>
      </c>
      <c r="Q89" s="75" t="s">
        <v>798</v>
      </c>
    </row>
    <row r="90" spans="2:17" s="82" customFormat="1" ht="121.5" x14ac:dyDescent="0.3">
      <c r="B90" s="104">
        <f t="shared" si="1"/>
        <v>85</v>
      </c>
      <c r="C90" s="62" t="s">
        <v>14</v>
      </c>
      <c r="D90" s="62" t="s">
        <v>21</v>
      </c>
      <c r="E90" s="62" t="s">
        <v>38</v>
      </c>
      <c r="F90" s="63" t="s">
        <v>39</v>
      </c>
      <c r="G90" s="64" t="s">
        <v>355</v>
      </c>
      <c r="H90" s="64" t="s">
        <v>356</v>
      </c>
      <c r="I90" s="88" t="s">
        <v>454</v>
      </c>
      <c r="J90" s="65" t="s">
        <v>460</v>
      </c>
      <c r="K90" s="103">
        <v>5</v>
      </c>
      <c r="L90" s="68" t="s">
        <v>561</v>
      </c>
      <c r="M90" s="62" t="s">
        <v>24</v>
      </c>
      <c r="N90" s="65" t="s">
        <v>19</v>
      </c>
      <c r="O90" s="66" t="s">
        <v>625</v>
      </c>
      <c r="P90" s="68" t="s">
        <v>799</v>
      </c>
      <c r="Q90" s="105" t="s">
        <v>800</v>
      </c>
    </row>
    <row r="91" spans="2:17" s="82" customFormat="1" ht="54" x14ac:dyDescent="0.3">
      <c r="B91" s="104">
        <f t="shared" si="1"/>
        <v>86</v>
      </c>
      <c r="C91" s="92" t="s">
        <v>14</v>
      </c>
      <c r="D91" s="92" t="s">
        <v>21</v>
      </c>
      <c r="E91" s="92" t="s">
        <v>357</v>
      </c>
      <c r="F91" s="92" t="s">
        <v>358</v>
      </c>
      <c r="G91" s="93" t="s">
        <v>359</v>
      </c>
      <c r="H91" s="93" t="s">
        <v>360</v>
      </c>
      <c r="I91" s="92" t="s">
        <v>472</v>
      </c>
      <c r="J91" s="92" t="s">
        <v>476</v>
      </c>
      <c r="K91" s="103">
        <v>5</v>
      </c>
      <c r="L91" s="66" t="s">
        <v>901</v>
      </c>
      <c r="M91" s="65" t="s">
        <v>18</v>
      </c>
      <c r="N91" s="65" t="s">
        <v>19</v>
      </c>
      <c r="O91" s="66" t="s">
        <v>794</v>
      </c>
      <c r="P91" s="66" t="s">
        <v>801</v>
      </c>
      <c r="Q91" s="75" t="s">
        <v>802</v>
      </c>
    </row>
    <row r="92" spans="2:17" s="76" customFormat="1" ht="108" x14ac:dyDescent="0.3">
      <c r="B92" s="104">
        <f t="shared" si="1"/>
        <v>87</v>
      </c>
      <c r="C92" s="62" t="s">
        <v>14</v>
      </c>
      <c r="D92" s="62" t="s">
        <v>21</v>
      </c>
      <c r="E92" s="62" t="s">
        <v>22</v>
      </c>
      <c r="F92" s="63" t="s">
        <v>358</v>
      </c>
      <c r="G92" s="64" t="s">
        <v>361</v>
      </c>
      <c r="H92" s="64" t="s">
        <v>362</v>
      </c>
      <c r="I92" s="88" t="s">
        <v>454</v>
      </c>
      <c r="J92" s="94" t="s">
        <v>454</v>
      </c>
      <c r="K92" s="103">
        <v>5</v>
      </c>
      <c r="L92" s="68" t="s">
        <v>562</v>
      </c>
      <c r="M92" s="62" t="s">
        <v>24</v>
      </c>
      <c r="N92" s="65" t="s">
        <v>19</v>
      </c>
      <c r="O92" s="66" t="s">
        <v>803</v>
      </c>
      <c r="P92" s="68" t="s">
        <v>804</v>
      </c>
      <c r="Q92" s="105" t="s">
        <v>805</v>
      </c>
    </row>
    <row r="93" spans="2:17" s="76" customFormat="1" ht="121.5" x14ac:dyDescent="0.3">
      <c r="B93" s="104">
        <f t="shared" si="1"/>
        <v>88</v>
      </c>
      <c r="C93" s="62" t="s">
        <v>14</v>
      </c>
      <c r="D93" s="62" t="s">
        <v>21</v>
      </c>
      <c r="E93" s="62" t="s">
        <v>22</v>
      </c>
      <c r="F93" s="63" t="s">
        <v>358</v>
      </c>
      <c r="G93" s="64" t="s">
        <v>363</v>
      </c>
      <c r="H93" s="64" t="s">
        <v>364</v>
      </c>
      <c r="I93" s="88" t="s">
        <v>454</v>
      </c>
      <c r="J93" s="94" t="s">
        <v>454</v>
      </c>
      <c r="K93" s="103">
        <v>4</v>
      </c>
      <c r="L93" s="68" t="s">
        <v>563</v>
      </c>
      <c r="M93" s="62" t="s">
        <v>18</v>
      </c>
      <c r="N93" s="65" t="s">
        <v>19</v>
      </c>
      <c r="O93" s="66" t="s">
        <v>806</v>
      </c>
      <c r="P93" s="68" t="s">
        <v>807</v>
      </c>
      <c r="Q93" s="105" t="s">
        <v>808</v>
      </c>
    </row>
    <row r="94" spans="2:17" s="76" customFormat="1" ht="216" x14ac:dyDescent="0.3">
      <c r="B94" s="104">
        <f t="shared" si="1"/>
        <v>89</v>
      </c>
      <c r="C94" s="44" t="s">
        <v>14</v>
      </c>
      <c r="D94" s="44" t="s">
        <v>111</v>
      </c>
      <c r="E94" s="44" t="s">
        <v>121</v>
      </c>
      <c r="F94" s="53" t="s">
        <v>122</v>
      </c>
      <c r="G94" s="45" t="s">
        <v>123</v>
      </c>
      <c r="H94" s="45" t="s">
        <v>365</v>
      </c>
      <c r="I94" s="60">
        <v>36</v>
      </c>
      <c r="J94" s="46">
        <v>40</v>
      </c>
      <c r="K94" s="103">
        <v>2</v>
      </c>
      <c r="L94" s="54" t="s">
        <v>564</v>
      </c>
      <c r="M94" s="44" t="s">
        <v>18</v>
      </c>
      <c r="N94" s="46" t="s">
        <v>19</v>
      </c>
      <c r="O94" s="47" t="s">
        <v>163</v>
      </c>
      <c r="P94" s="54" t="s">
        <v>164</v>
      </c>
      <c r="Q94" s="57" t="s">
        <v>165</v>
      </c>
    </row>
    <row r="95" spans="2:17" s="76" customFormat="1" ht="175.5" x14ac:dyDescent="0.3">
      <c r="B95" s="104">
        <f t="shared" si="1"/>
        <v>90</v>
      </c>
      <c r="C95" s="62" t="s">
        <v>14</v>
      </c>
      <c r="D95" s="62" t="s">
        <v>21</v>
      </c>
      <c r="E95" s="62" t="s">
        <v>22</v>
      </c>
      <c r="F95" s="63" t="s">
        <v>358</v>
      </c>
      <c r="G95" s="64" t="s">
        <v>366</v>
      </c>
      <c r="H95" s="64" t="s">
        <v>367</v>
      </c>
      <c r="I95" s="88" t="s">
        <v>454</v>
      </c>
      <c r="J95" s="94" t="s">
        <v>454</v>
      </c>
      <c r="K95" s="103">
        <v>2</v>
      </c>
      <c r="L95" s="68" t="s">
        <v>565</v>
      </c>
      <c r="M95" s="62" t="s">
        <v>24</v>
      </c>
      <c r="N95" s="65" t="s">
        <v>19</v>
      </c>
      <c r="O95" s="66" t="s">
        <v>809</v>
      </c>
      <c r="P95" s="68" t="s">
        <v>810</v>
      </c>
      <c r="Q95" s="105" t="s">
        <v>811</v>
      </c>
    </row>
    <row r="96" spans="2:17" s="76" customFormat="1" ht="135" x14ac:dyDescent="0.3">
      <c r="B96" s="104">
        <f t="shared" si="1"/>
        <v>91</v>
      </c>
      <c r="C96" s="62" t="s">
        <v>14</v>
      </c>
      <c r="D96" s="62" t="s">
        <v>21</v>
      </c>
      <c r="E96" s="62" t="s">
        <v>22</v>
      </c>
      <c r="F96" s="63" t="s">
        <v>358</v>
      </c>
      <c r="G96" s="64" t="s">
        <v>368</v>
      </c>
      <c r="H96" s="64" t="s">
        <v>369</v>
      </c>
      <c r="I96" s="88">
        <v>277</v>
      </c>
      <c r="J96" s="65" t="s">
        <v>466</v>
      </c>
      <c r="K96" s="103">
        <v>2</v>
      </c>
      <c r="L96" s="68" t="s">
        <v>566</v>
      </c>
      <c r="M96" s="62" t="s">
        <v>24</v>
      </c>
      <c r="N96" s="65" t="s">
        <v>19</v>
      </c>
      <c r="O96" s="66" t="s">
        <v>753</v>
      </c>
      <c r="P96" s="66" t="s">
        <v>812</v>
      </c>
      <c r="Q96" s="105" t="s">
        <v>813</v>
      </c>
    </row>
    <row r="97" spans="2:17" s="76" customFormat="1" ht="121.5" x14ac:dyDescent="0.3">
      <c r="B97" s="104">
        <f t="shared" si="1"/>
        <v>92</v>
      </c>
      <c r="C97" s="62" t="s">
        <v>14</v>
      </c>
      <c r="D97" s="62" t="s">
        <v>21</v>
      </c>
      <c r="E97" s="62" t="s">
        <v>22</v>
      </c>
      <c r="F97" s="63" t="s">
        <v>358</v>
      </c>
      <c r="G97" s="64" t="s">
        <v>370</v>
      </c>
      <c r="H97" s="64" t="s">
        <v>371</v>
      </c>
      <c r="I97" s="88">
        <v>563</v>
      </c>
      <c r="J97" s="65" t="s">
        <v>479</v>
      </c>
      <c r="K97" s="103">
        <v>2</v>
      </c>
      <c r="L97" s="68" t="s">
        <v>567</v>
      </c>
      <c r="M97" s="62" t="s">
        <v>18</v>
      </c>
      <c r="N97" s="65" t="s">
        <v>19</v>
      </c>
      <c r="O97" s="66" t="s">
        <v>806</v>
      </c>
      <c r="P97" s="68" t="s">
        <v>814</v>
      </c>
      <c r="Q97" s="105" t="s">
        <v>815</v>
      </c>
    </row>
    <row r="98" spans="2:17" s="76" customFormat="1" ht="175.5" x14ac:dyDescent="0.3">
      <c r="B98" s="104">
        <f t="shared" si="1"/>
        <v>93</v>
      </c>
      <c r="C98" s="62" t="s">
        <v>14</v>
      </c>
      <c r="D98" s="62" t="s">
        <v>21</v>
      </c>
      <c r="E98" s="62" t="s">
        <v>16</v>
      </c>
      <c r="F98" s="63" t="s">
        <v>41</v>
      </c>
      <c r="G98" s="64" t="s">
        <v>372</v>
      </c>
      <c r="H98" s="72" t="s">
        <v>373</v>
      </c>
      <c r="I98" s="88" t="s">
        <v>480</v>
      </c>
      <c r="J98" s="65" t="s">
        <v>473</v>
      </c>
      <c r="K98" s="103">
        <v>4</v>
      </c>
      <c r="L98" s="68" t="s">
        <v>568</v>
      </c>
      <c r="M98" s="62" t="s">
        <v>18</v>
      </c>
      <c r="N98" s="65" t="s">
        <v>19</v>
      </c>
      <c r="O98" s="66" t="s">
        <v>37</v>
      </c>
      <c r="P98" s="68" t="s">
        <v>816</v>
      </c>
      <c r="Q98" s="105" t="s">
        <v>817</v>
      </c>
    </row>
    <row r="99" spans="2:17" s="82" customFormat="1" ht="121.5" x14ac:dyDescent="0.3">
      <c r="B99" s="104">
        <f t="shared" si="1"/>
        <v>94</v>
      </c>
      <c r="C99" s="44" t="s">
        <v>14</v>
      </c>
      <c r="D99" s="44" t="s">
        <v>21</v>
      </c>
      <c r="E99" s="44" t="s">
        <v>16</v>
      </c>
      <c r="F99" s="53" t="s">
        <v>41</v>
      </c>
      <c r="G99" s="45" t="s">
        <v>114</v>
      </c>
      <c r="H99" s="45" t="s">
        <v>115</v>
      </c>
      <c r="I99" s="60">
        <v>18</v>
      </c>
      <c r="J99" s="46">
        <v>41</v>
      </c>
      <c r="K99" s="103">
        <v>4</v>
      </c>
      <c r="L99" s="54" t="s">
        <v>153</v>
      </c>
      <c r="M99" s="44" t="s">
        <v>18</v>
      </c>
      <c r="N99" s="46" t="s">
        <v>19</v>
      </c>
      <c r="O99" s="47" t="s">
        <v>37</v>
      </c>
      <c r="P99" s="54" t="s">
        <v>154</v>
      </c>
      <c r="Q99" s="57" t="s">
        <v>155</v>
      </c>
    </row>
    <row r="100" spans="2:17" s="82" customFormat="1" ht="67.5" x14ac:dyDescent="0.3">
      <c r="B100" s="104">
        <f t="shared" si="1"/>
        <v>95</v>
      </c>
      <c r="C100" s="62" t="s">
        <v>14</v>
      </c>
      <c r="D100" s="62" t="s">
        <v>15</v>
      </c>
      <c r="E100" s="62" t="s">
        <v>16</v>
      </c>
      <c r="F100" s="63" t="s">
        <v>374</v>
      </c>
      <c r="G100" s="64" t="s">
        <v>375</v>
      </c>
      <c r="H100" s="64" t="s">
        <v>376</v>
      </c>
      <c r="I100" s="88" t="s">
        <v>477</v>
      </c>
      <c r="J100" s="94" t="s">
        <v>460</v>
      </c>
      <c r="K100" s="103">
        <v>6</v>
      </c>
      <c r="L100" s="68" t="s">
        <v>569</v>
      </c>
      <c r="M100" s="62" t="s">
        <v>18</v>
      </c>
      <c r="N100" s="65" t="s">
        <v>19</v>
      </c>
      <c r="O100" s="66" t="s">
        <v>818</v>
      </c>
      <c r="P100" s="68" t="s">
        <v>819</v>
      </c>
      <c r="Q100" s="105" t="s">
        <v>820</v>
      </c>
    </row>
    <row r="101" spans="2:17" s="76" customFormat="1" ht="67.5" x14ac:dyDescent="0.3">
      <c r="B101" s="104">
        <f t="shared" si="1"/>
        <v>96</v>
      </c>
      <c r="C101" s="62" t="s">
        <v>14</v>
      </c>
      <c r="D101" s="62" t="s">
        <v>21</v>
      </c>
      <c r="E101" s="62" t="s">
        <v>16</v>
      </c>
      <c r="F101" s="63" t="s">
        <v>377</v>
      </c>
      <c r="G101" s="64" t="s">
        <v>378</v>
      </c>
      <c r="H101" s="64" t="s">
        <v>379</v>
      </c>
      <c r="I101" s="88" t="s">
        <v>454</v>
      </c>
      <c r="J101" s="94" t="s">
        <v>454</v>
      </c>
      <c r="K101" s="103">
        <v>2</v>
      </c>
      <c r="L101" s="68" t="s">
        <v>570</v>
      </c>
      <c r="M101" s="62" t="s">
        <v>18</v>
      </c>
      <c r="N101" s="65" t="s">
        <v>19</v>
      </c>
      <c r="O101" s="66" t="s">
        <v>33</v>
      </c>
      <c r="P101" s="68" t="s">
        <v>821</v>
      </c>
      <c r="Q101" s="105" t="s">
        <v>822</v>
      </c>
    </row>
    <row r="102" spans="2:17" s="76" customFormat="1" ht="81" x14ac:dyDescent="0.3">
      <c r="B102" s="104">
        <f t="shared" si="1"/>
        <v>97</v>
      </c>
      <c r="C102" s="62" t="s">
        <v>14</v>
      </c>
      <c r="D102" s="62" t="s">
        <v>15</v>
      </c>
      <c r="E102" s="62" t="s">
        <v>16</v>
      </c>
      <c r="F102" s="63" t="s">
        <v>380</v>
      </c>
      <c r="G102" s="64" t="s">
        <v>381</v>
      </c>
      <c r="H102" s="64" t="s">
        <v>382</v>
      </c>
      <c r="I102" s="88" t="s">
        <v>454</v>
      </c>
      <c r="J102" s="65" t="s">
        <v>474</v>
      </c>
      <c r="K102" s="103">
        <v>1</v>
      </c>
      <c r="L102" s="68" t="s">
        <v>571</v>
      </c>
      <c r="M102" s="62" t="s">
        <v>18</v>
      </c>
      <c r="N102" s="65" t="s">
        <v>19</v>
      </c>
      <c r="O102" s="66" t="s">
        <v>823</v>
      </c>
      <c r="P102" s="68" t="s">
        <v>824</v>
      </c>
      <c r="Q102" s="105" t="s">
        <v>825</v>
      </c>
    </row>
    <row r="103" spans="2:17" s="76" customFormat="1" ht="148.5" x14ac:dyDescent="0.3">
      <c r="B103" s="104">
        <f t="shared" si="1"/>
        <v>98</v>
      </c>
      <c r="C103" s="62" t="s">
        <v>14</v>
      </c>
      <c r="D103" s="62" t="s">
        <v>15</v>
      </c>
      <c r="E103" s="62" t="s">
        <v>16</v>
      </c>
      <c r="F103" s="63" t="s">
        <v>380</v>
      </c>
      <c r="G103" s="64" t="s">
        <v>383</v>
      </c>
      <c r="H103" s="64" t="s">
        <v>384</v>
      </c>
      <c r="I103" s="88" t="s">
        <v>474</v>
      </c>
      <c r="J103" s="65" t="s">
        <v>167</v>
      </c>
      <c r="K103" s="103">
        <v>3</v>
      </c>
      <c r="L103" s="68" t="s">
        <v>572</v>
      </c>
      <c r="M103" s="62" t="s">
        <v>18</v>
      </c>
      <c r="N103" s="65" t="s">
        <v>19</v>
      </c>
      <c r="O103" s="66" t="s">
        <v>826</v>
      </c>
      <c r="P103" s="68" t="s">
        <v>827</v>
      </c>
      <c r="Q103" s="105" t="s">
        <v>828</v>
      </c>
    </row>
    <row r="104" spans="2:17" s="76" customFormat="1" ht="135" x14ac:dyDescent="0.3">
      <c r="B104" s="104">
        <f t="shared" si="1"/>
        <v>99</v>
      </c>
      <c r="C104" s="62" t="s">
        <v>14</v>
      </c>
      <c r="D104" s="62" t="s">
        <v>15</v>
      </c>
      <c r="E104" s="62" t="s">
        <v>16</v>
      </c>
      <c r="F104" s="63" t="s">
        <v>380</v>
      </c>
      <c r="G104" s="64" t="s">
        <v>385</v>
      </c>
      <c r="H104" s="64" t="s">
        <v>386</v>
      </c>
      <c r="I104" s="88">
        <f>560</f>
        <v>560</v>
      </c>
      <c r="J104" s="65" t="s">
        <v>456</v>
      </c>
      <c r="K104" s="103">
        <v>4</v>
      </c>
      <c r="L104" s="68" t="s">
        <v>573</v>
      </c>
      <c r="M104" s="62" t="s">
        <v>18</v>
      </c>
      <c r="N104" s="65" t="s">
        <v>19</v>
      </c>
      <c r="O104" s="66" t="s">
        <v>829</v>
      </c>
      <c r="P104" s="68" t="s">
        <v>830</v>
      </c>
      <c r="Q104" s="105" t="s">
        <v>831</v>
      </c>
    </row>
    <row r="105" spans="2:17" s="76" customFormat="1" ht="67.5" x14ac:dyDescent="0.3">
      <c r="B105" s="104">
        <f t="shared" si="1"/>
        <v>100</v>
      </c>
      <c r="C105" s="62" t="s">
        <v>14</v>
      </c>
      <c r="D105" s="62" t="s">
        <v>96</v>
      </c>
      <c r="E105" s="62" t="s">
        <v>97</v>
      </c>
      <c r="F105" s="63" t="s">
        <v>387</v>
      </c>
      <c r="G105" s="64" t="s">
        <v>388</v>
      </c>
      <c r="H105" s="64" t="s">
        <v>389</v>
      </c>
      <c r="I105" s="73">
        <v>329</v>
      </c>
      <c r="J105" s="73" t="s">
        <v>479</v>
      </c>
      <c r="K105" s="103">
        <v>4</v>
      </c>
      <c r="L105" s="68" t="s">
        <v>574</v>
      </c>
      <c r="M105" s="65" t="s">
        <v>130</v>
      </c>
      <c r="N105" s="65" t="s">
        <v>19</v>
      </c>
      <c r="O105" s="66" t="s">
        <v>632</v>
      </c>
      <c r="P105" s="68" t="s">
        <v>832</v>
      </c>
      <c r="Q105" s="105" t="s">
        <v>833</v>
      </c>
    </row>
    <row r="106" spans="2:17" s="76" customFormat="1" ht="67.5" x14ac:dyDescent="0.3">
      <c r="B106" s="104">
        <f t="shared" si="1"/>
        <v>101</v>
      </c>
      <c r="C106" s="62" t="s">
        <v>14</v>
      </c>
      <c r="D106" s="62" t="s">
        <v>15</v>
      </c>
      <c r="E106" s="62" t="s">
        <v>16</v>
      </c>
      <c r="F106" s="63" t="s">
        <v>390</v>
      </c>
      <c r="G106" s="64" t="s">
        <v>391</v>
      </c>
      <c r="H106" s="64" t="s">
        <v>392</v>
      </c>
      <c r="I106" s="88" t="s">
        <v>462</v>
      </c>
      <c r="J106" s="65" t="s">
        <v>460</v>
      </c>
      <c r="K106" s="103">
        <v>2</v>
      </c>
      <c r="L106" s="68" t="s">
        <v>575</v>
      </c>
      <c r="M106" s="62" t="s">
        <v>18</v>
      </c>
      <c r="N106" s="65" t="s">
        <v>19</v>
      </c>
      <c r="O106" s="66" t="s">
        <v>834</v>
      </c>
      <c r="P106" s="68" t="s">
        <v>835</v>
      </c>
      <c r="Q106" s="105" t="s">
        <v>836</v>
      </c>
    </row>
    <row r="107" spans="2:17" s="76" customFormat="1" ht="81" x14ac:dyDescent="0.3">
      <c r="B107" s="104">
        <f t="shared" si="1"/>
        <v>102</v>
      </c>
      <c r="C107" s="62" t="s">
        <v>14</v>
      </c>
      <c r="D107" s="62" t="s">
        <v>15</v>
      </c>
      <c r="E107" s="62" t="s">
        <v>16</v>
      </c>
      <c r="F107" s="63" t="s">
        <v>390</v>
      </c>
      <c r="G107" s="64" t="s">
        <v>393</v>
      </c>
      <c r="H107" s="64" t="s">
        <v>394</v>
      </c>
      <c r="I107" s="88" t="s">
        <v>472</v>
      </c>
      <c r="J107" s="65" t="s">
        <v>481</v>
      </c>
      <c r="K107" s="103">
        <v>2</v>
      </c>
      <c r="L107" s="68" t="s">
        <v>576</v>
      </c>
      <c r="M107" s="62" t="s">
        <v>18</v>
      </c>
      <c r="N107" s="65" t="s">
        <v>19</v>
      </c>
      <c r="O107" s="66" t="s">
        <v>837</v>
      </c>
      <c r="P107" s="68" t="s">
        <v>726</v>
      </c>
      <c r="Q107" s="105" t="s">
        <v>838</v>
      </c>
    </row>
    <row r="108" spans="2:17" s="76" customFormat="1" ht="94.5" x14ac:dyDescent="0.3">
      <c r="B108" s="104">
        <f t="shared" si="1"/>
        <v>103</v>
      </c>
      <c r="C108" s="62" t="s">
        <v>14</v>
      </c>
      <c r="D108" s="62" t="s">
        <v>15</v>
      </c>
      <c r="E108" s="62" t="s">
        <v>273</v>
      </c>
      <c r="F108" s="63" t="s">
        <v>395</v>
      </c>
      <c r="G108" s="64" t="s">
        <v>396</v>
      </c>
      <c r="H108" s="64" t="s">
        <v>397</v>
      </c>
      <c r="I108" s="88" t="s">
        <v>482</v>
      </c>
      <c r="J108" s="65" t="s">
        <v>465</v>
      </c>
      <c r="K108" s="103">
        <v>2</v>
      </c>
      <c r="L108" s="68" t="s">
        <v>577</v>
      </c>
      <c r="M108" s="62" t="s">
        <v>18</v>
      </c>
      <c r="N108" s="65" t="s">
        <v>19</v>
      </c>
      <c r="O108" s="66" t="s">
        <v>839</v>
      </c>
      <c r="P108" s="68" t="s">
        <v>840</v>
      </c>
      <c r="Q108" s="105" t="s">
        <v>841</v>
      </c>
    </row>
    <row r="109" spans="2:17" s="82" customFormat="1" ht="67.5" x14ac:dyDescent="0.3">
      <c r="B109" s="104">
        <f t="shared" si="1"/>
        <v>104</v>
      </c>
      <c r="C109" s="62" t="s">
        <v>14</v>
      </c>
      <c r="D109" s="62" t="s">
        <v>15</v>
      </c>
      <c r="E109" s="62" t="s">
        <v>398</v>
      </c>
      <c r="F109" s="63" t="s">
        <v>395</v>
      </c>
      <c r="G109" s="64" t="s">
        <v>399</v>
      </c>
      <c r="H109" s="64" t="s">
        <v>400</v>
      </c>
      <c r="I109" s="88" t="s">
        <v>454</v>
      </c>
      <c r="J109" s="65" t="s">
        <v>454</v>
      </c>
      <c r="K109" s="103">
        <v>4</v>
      </c>
      <c r="L109" s="68" t="s">
        <v>578</v>
      </c>
      <c r="M109" s="62" t="s">
        <v>18</v>
      </c>
      <c r="N109" s="65" t="s">
        <v>19</v>
      </c>
      <c r="O109" s="66" t="s">
        <v>33</v>
      </c>
      <c r="P109" s="68" t="s">
        <v>842</v>
      </c>
      <c r="Q109" s="105" t="s">
        <v>843</v>
      </c>
    </row>
    <row r="110" spans="2:17" s="82" customFormat="1" ht="67.5" x14ac:dyDescent="0.3">
      <c r="B110" s="104">
        <f t="shared" si="1"/>
        <v>105</v>
      </c>
      <c r="C110" s="62" t="s">
        <v>14</v>
      </c>
      <c r="D110" s="62" t="s">
        <v>96</v>
      </c>
      <c r="E110" s="62" t="s">
        <v>97</v>
      </c>
      <c r="F110" s="63" t="s">
        <v>401</v>
      </c>
      <c r="G110" s="64" t="s">
        <v>402</v>
      </c>
      <c r="H110" s="64" t="s">
        <v>403</v>
      </c>
      <c r="I110" s="95" t="s">
        <v>463</v>
      </c>
      <c r="J110" s="95" t="s">
        <v>463</v>
      </c>
      <c r="K110" s="103">
        <v>2</v>
      </c>
      <c r="L110" s="68" t="s">
        <v>579</v>
      </c>
      <c r="M110" s="65" t="s">
        <v>130</v>
      </c>
      <c r="N110" s="65" t="s">
        <v>19</v>
      </c>
      <c r="O110" s="66" t="s">
        <v>632</v>
      </c>
      <c r="P110" s="68" t="s">
        <v>844</v>
      </c>
      <c r="Q110" s="105" t="s">
        <v>697</v>
      </c>
    </row>
    <row r="111" spans="2:17" s="76" customFormat="1" ht="121.5" x14ac:dyDescent="0.3">
      <c r="B111" s="104">
        <f t="shared" si="1"/>
        <v>106</v>
      </c>
      <c r="C111" s="62" t="s">
        <v>14</v>
      </c>
      <c r="D111" s="62" t="s">
        <v>15</v>
      </c>
      <c r="E111" s="62" t="s">
        <v>404</v>
      </c>
      <c r="F111" s="63" t="s">
        <v>395</v>
      </c>
      <c r="G111" s="64" t="s">
        <v>405</v>
      </c>
      <c r="H111" s="64" t="s">
        <v>406</v>
      </c>
      <c r="I111" s="88" t="s">
        <v>454</v>
      </c>
      <c r="J111" s="94" t="s">
        <v>454</v>
      </c>
      <c r="K111" s="103">
        <v>7</v>
      </c>
      <c r="L111" s="68" t="s">
        <v>580</v>
      </c>
      <c r="M111" s="62" t="s">
        <v>18</v>
      </c>
      <c r="N111" s="65" t="s">
        <v>19</v>
      </c>
      <c r="O111" s="66" t="s">
        <v>605</v>
      </c>
      <c r="P111" s="68" t="s">
        <v>845</v>
      </c>
      <c r="Q111" s="105" t="s">
        <v>846</v>
      </c>
    </row>
    <row r="112" spans="2:17" s="76" customFormat="1" ht="94.5" x14ac:dyDescent="0.3">
      <c r="B112" s="104">
        <f t="shared" si="1"/>
        <v>107</v>
      </c>
      <c r="C112" s="62" t="s">
        <v>95</v>
      </c>
      <c r="D112" s="62" t="s">
        <v>96</v>
      </c>
      <c r="E112" s="62" t="s">
        <v>398</v>
      </c>
      <c r="F112" s="63" t="s">
        <v>401</v>
      </c>
      <c r="G112" s="64" t="s">
        <v>407</v>
      </c>
      <c r="H112" s="64" t="s">
        <v>408</v>
      </c>
      <c r="I112" s="88" t="s">
        <v>463</v>
      </c>
      <c r="J112" s="65" t="s">
        <v>463</v>
      </c>
      <c r="K112" s="103">
        <v>3</v>
      </c>
      <c r="L112" s="68" t="s">
        <v>581</v>
      </c>
      <c r="M112" s="62" t="s">
        <v>18</v>
      </c>
      <c r="N112" s="65" t="s">
        <v>19</v>
      </c>
      <c r="O112" s="66"/>
      <c r="P112" s="68" t="s">
        <v>847</v>
      </c>
      <c r="Q112" s="105" t="s">
        <v>848</v>
      </c>
    </row>
    <row r="113" spans="2:17" s="76" customFormat="1" ht="108" x14ac:dyDescent="0.3">
      <c r="B113" s="104">
        <f t="shared" si="1"/>
        <v>108</v>
      </c>
      <c r="C113" s="62" t="s">
        <v>95</v>
      </c>
      <c r="D113" s="62" t="s">
        <v>96</v>
      </c>
      <c r="E113" s="62" t="s">
        <v>409</v>
      </c>
      <c r="F113" s="63" t="s">
        <v>401</v>
      </c>
      <c r="G113" s="64" t="s">
        <v>410</v>
      </c>
      <c r="H113" s="64" t="s">
        <v>411</v>
      </c>
      <c r="I113" s="88" t="s">
        <v>462</v>
      </c>
      <c r="J113" s="94" t="s">
        <v>475</v>
      </c>
      <c r="K113" s="103">
        <v>2</v>
      </c>
      <c r="L113" s="68" t="s">
        <v>582</v>
      </c>
      <c r="M113" s="62" t="s">
        <v>40</v>
      </c>
      <c r="N113" s="65" t="s">
        <v>131</v>
      </c>
      <c r="O113" s="66" t="s">
        <v>849</v>
      </c>
      <c r="P113" s="68" t="s">
        <v>850</v>
      </c>
      <c r="Q113" s="105" t="s">
        <v>851</v>
      </c>
    </row>
    <row r="114" spans="2:17" s="76" customFormat="1" ht="108" x14ac:dyDescent="0.3">
      <c r="B114" s="104">
        <f t="shared" si="1"/>
        <v>109</v>
      </c>
      <c r="C114" s="62" t="s">
        <v>14</v>
      </c>
      <c r="D114" s="62" t="s">
        <v>15</v>
      </c>
      <c r="E114" s="62" t="s">
        <v>273</v>
      </c>
      <c r="F114" s="63" t="s">
        <v>395</v>
      </c>
      <c r="G114" s="64" t="s">
        <v>903</v>
      </c>
      <c r="H114" s="64" t="s">
        <v>412</v>
      </c>
      <c r="I114" s="88" t="s">
        <v>454</v>
      </c>
      <c r="J114" s="65" t="s">
        <v>454</v>
      </c>
      <c r="K114" s="103">
        <v>2</v>
      </c>
      <c r="L114" s="68" t="s">
        <v>583</v>
      </c>
      <c r="M114" s="62" t="s">
        <v>18</v>
      </c>
      <c r="N114" s="65" t="s">
        <v>19</v>
      </c>
      <c r="O114" s="66" t="s">
        <v>605</v>
      </c>
      <c r="P114" s="68" t="s">
        <v>852</v>
      </c>
      <c r="Q114" s="105" t="s">
        <v>853</v>
      </c>
    </row>
    <row r="115" spans="2:17" s="82" customFormat="1" ht="108" x14ac:dyDescent="0.3">
      <c r="B115" s="104">
        <f t="shared" si="1"/>
        <v>110</v>
      </c>
      <c r="C115" s="62" t="s">
        <v>14</v>
      </c>
      <c r="D115" s="62" t="s">
        <v>15</v>
      </c>
      <c r="E115" s="62" t="s">
        <v>273</v>
      </c>
      <c r="F115" s="63" t="s">
        <v>395</v>
      </c>
      <c r="G115" s="64" t="s">
        <v>413</v>
      </c>
      <c r="H115" s="64" t="s">
        <v>414</v>
      </c>
      <c r="I115" s="88">
        <v>235</v>
      </c>
      <c r="J115" s="65" t="s">
        <v>479</v>
      </c>
      <c r="K115" s="103">
        <v>2</v>
      </c>
      <c r="L115" s="68" t="s">
        <v>584</v>
      </c>
      <c r="M115" s="62" t="s">
        <v>40</v>
      </c>
      <c r="N115" s="65" t="s">
        <v>19</v>
      </c>
      <c r="O115" s="66" t="s">
        <v>854</v>
      </c>
      <c r="P115" s="68" t="s">
        <v>855</v>
      </c>
      <c r="Q115" s="105" t="s">
        <v>856</v>
      </c>
    </row>
    <row r="116" spans="2:17" s="82" customFormat="1" ht="81" x14ac:dyDescent="0.3">
      <c r="B116" s="104">
        <f t="shared" si="1"/>
        <v>111</v>
      </c>
      <c r="C116" s="62" t="s">
        <v>14</v>
      </c>
      <c r="D116" s="62" t="s">
        <v>15</v>
      </c>
      <c r="E116" s="62" t="s">
        <v>404</v>
      </c>
      <c r="F116" s="63" t="s">
        <v>395</v>
      </c>
      <c r="G116" s="72" t="s">
        <v>415</v>
      </c>
      <c r="H116" s="64" t="s">
        <v>416</v>
      </c>
      <c r="I116" s="88" t="s">
        <v>483</v>
      </c>
      <c r="J116" s="65" t="s">
        <v>454</v>
      </c>
      <c r="K116" s="103">
        <v>10</v>
      </c>
      <c r="L116" s="68" t="s">
        <v>585</v>
      </c>
      <c r="M116" s="62" t="s">
        <v>18</v>
      </c>
      <c r="N116" s="65" t="s">
        <v>19</v>
      </c>
      <c r="O116" s="66" t="s">
        <v>839</v>
      </c>
      <c r="P116" s="68" t="s">
        <v>857</v>
      </c>
      <c r="Q116" s="105" t="s">
        <v>858</v>
      </c>
    </row>
    <row r="117" spans="2:17" s="76" customFormat="1" ht="81" x14ac:dyDescent="0.3">
      <c r="B117" s="104">
        <f t="shared" si="1"/>
        <v>112</v>
      </c>
      <c r="C117" s="62" t="s">
        <v>14</v>
      </c>
      <c r="D117" s="62" t="s">
        <v>15</v>
      </c>
      <c r="E117" s="62" t="s">
        <v>404</v>
      </c>
      <c r="F117" s="63" t="s">
        <v>395</v>
      </c>
      <c r="G117" s="64" t="s">
        <v>417</v>
      </c>
      <c r="H117" s="64" t="s">
        <v>418</v>
      </c>
      <c r="I117" s="88" t="s">
        <v>454</v>
      </c>
      <c r="J117" s="94" t="s">
        <v>454</v>
      </c>
      <c r="K117" s="103">
        <v>2</v>
      </c>
      <c r="L117" s="68" t="s">
        <v>586</v>
      </c>
      <c r="M117" s="62" t="s">
        <v>18</v>
      </c>
      <c r="N117" s="65" t="s">
        <v>19</v>
      </c>
      <c r="O117" s="66" t="s">
        <v>834</v>
      </c>
      <c r="P117" s="68" t="s">
        <v>859</v>
      </c>
      <c r="Q117" s="105" t="s">
        <v>860</v>
      </c>
    </row>
    <row r="118" spans="2:17" s="76" customFormat="1" ht="81" x14ac:dyDescent="0.3">
      <c r="B118" s="104">
        <f t="shared" si="1"/>
        <v>113</v>
      </c>
      <c r="C118" s="62" t="s">
        <v>14</v>
      </c>
      <c r="D118" s="62" t="s">
        <v>15</v>
      </c>
      <c r="E118" s="62" t="s">
        <v>273</v>
      </c>
      <c r="F118" s="63" t="s">
        <v>395</v>
      </c>
      <c r="G118" s="64" t="s">
        <v>419</v>
      </c>
      <c r="H118" s="64" t="s">
        <v>420</v>
      </c>
      <c r="I118" s="88" t="s">
        <v>462</v>
      </c>
      <c r="J118" s="65" t="s">
        <v>474</v>
      </c>
      <c r="K118" s="103">
        <v>3</v>
      </c>
      <c r="L118" s="68" t="s">
        <v>587</v>
      </c>
      <c r="M118" s="62" t="s">
        <v>18</v>
      </c>
      <c r="N118" s="65" t="s">
        <v>19</v>
      </c>
      <c r="O118" s="66" t="s">
        <v>861</v>
      </c>
      <c r="P118" s="68" t="s">
        <v>862</v>
      </c>
      <c r="Q118" s="105" t="s">
        <v>863</v>
      </c>
    </row>
    <row r="119" spans="2:17" s="76" customFormat="1" ht="75.75" customHeight="1" x14ac:dyDescent="0.3">
      <c r="B119" s="104">
        <f t="shared" si="1"/>
        <v>114</v>
      </c>
      <c r="C119" s="62" t="s">
        <v>14</v>
      </c>
      <c r="D119" s="62" t="s">
        <v>15</v>
      </c>
      <c r="E119" s="62" t="s">
        <v>404</v>
      </c>
      <c r="F119" s="63" t="s">
        <v>395</v>
      </c>
      <c r="G119" s="64" t="s">
        <v>421</v>
      </c>
      <c r="H119" s="64" t="s">
        <v>422</v>
      </c>
      <c r="I119" s="88" t="s">
        <v>454</v>
      </c>
      <c r="J119" s="65" t="s">
        <v>454</v>
      </c>
      <c r="K119" s="103">
        <v>4</v>
      </c>
      <c r="L119" s="68" t="s">
        <v>582</v>
      </c>
      <c r="M119" s="62" t="s">
        <v>18</v>
      </c>
      <c r="N119" s="65" t="s">
        <v>19</v>
      </c>
      <c r="O119" s="66" t="s">
        <v>864</v>
      </c>
      <c r="P119" s="68" t="s">
        <v>865</v>
      </c>
      <c r="Q119" s="105" t="s">
        <v>866</v>
      </c>
    </row>
    <row r="120" spans="2:17" s="76" customFormat="1" ht="81" x14ac:dyDescent="0.3">
      <c r="B120" s="104">
        <f t="shared" si="1"/>
        <v>115</v>
      </c>
      <c r="C120" s="62" t="s">
        <v>14</v>
      </c>
      <c r="D120" s="62" t="s">
        <v>15</v>
      </c>
      <c r="E120" s="62" t="s">
        <v>273</v>
      </c>
      <c r="F120" s="63" t="s">
        <v>401</v>
      </c>
      <c r="G120" s="64" t="s">
        <v>423</v>
      </c>
      <c r="H120" s="64" t="s">
        <v>424</v>
      </c>
      <c r="I120" s="88" t="s">
        <v>454</v>
      </c>
      <c r="J120" s="65" t="s">
        <v>474</v>
      </c>
      <c r="K120" s="103">
        <v>6</v>
      </c>
      <c r="L120" s="68" t="s">
        <v>588</v>
      </c>
      <c r="M120" s="62" t="s">
        <v>18</v>
      </c>
      <c r="N120" s="65" t="s">
        <v>19</v>
      </c>
      <c r="O120" s="66" t="s">
        <v>839</v>
      </c>
      <c r="P120" s="68" t="s">
        <v>867</v>
      </c>
      <c r="Q120" s="105" t="s">
        <v>868</v>
      </c>
    </row>
    <row r="121" spans="2:17" s="76" customFormat="1" ht="148.5" x14ac:dyDescent="0.3">
      <c r="B121" s="104">
        <f t="shared" si="1"/>
        <v>116</v>
      </c>
      <c r="C121" s="62" t="s">
        <v>14</v>
      </c>
      <c r="D121" s="62" t="s">
        <v>15</v>
      </c>
      <c r="E121" s="62" t="s">
        <v>398</v>
      </c>
      <c r="F121" s="63" t="s">
        <v>395</v>
      </c>
      <c r="G121" s="64" t="s">
        <v>425</v>
      </c>
      <c r="H121" s="64" t="s">
        <v>426</v>
      </c>
      <c r="I121" s="88">
        <v>443</v>
      </c>
      <c r="J121" s="65" t="s">
        <v>463</v>
      </c>
      <c r="K121" s="103">
        <v>3</v>
      </c>
      <c r="L121" s="68" t="s">
        <v>589</v>
      </c>
      <c r="M121" s="62" t="s">
        <v>18</v>
      </c>
      <c r="N121" s="65" t="s">
        <v>19</v>
      </c>
      <c r="O121" s="66" t="s">
        <v>869</v>
      </c>
      <c r="P121" s="78" t="s">
        <v>870</v>
      </c>
      <c r="Q121" s="105" t="s">
        <v>871</v>
      </c>
    </row>
    <row r="122" spans="2:17" s="82" customFormat="1" ht="108" x14ac:dyDescent="0.3">
      <c r="B122" s="104">
        <f t="shared" si="1"/>
        <v>117</v>
      </c>
      <c r="C122" s="79" t="s">
        <v>14</v>
      </c>
      <c r="D122" s="79" t="s">
        <v>15</v>
      </c>
      <c r="E122" s="79" t="s">
        <v>273</v>
      </c>
      <c r="F122" s="80" t="s">
        <v>395</v>
      </c>
      <c r="G122" s="64" t="s">
        <v>427</v>
      </c>
      <c r="H122" s="64" t="s">
        <v>428</v>
      </c>
      <c r="I122" s="96" t="s">
        <v>462</v>
      </c>
      <c r="J122" s="65" t="s">
        <v>463</v>
      </c>
      <c r="K122" s="103">
        <v>2</v>
      </c>
      <c r="L122" s="78" t="s">
        <v>590</v>
      </c>
      <c r="M122" s="79" t="s">
        <v>18</v>
      </c>
      <c r="N122" s="65" t="s">
        <v>19</v>
      </c>
      <c r="O122" s="81" t="s">
        <v>861</v>
      </c>
      <c r="P122" s="68" t="s">
        <v>872</v>
      </c>
      <c r="Q122" s="105" t="s">
        <v>873</v>
      </c>
    </row>
    <row r="123" spans="2:17" s="82" customFormat="1" ht="229.5" x14ac:dyDescent="0.3">
      <c r="B123" s="104">
        <f t="shared" si="1"/>
        <v>118</v>
      </c>
      <c r="C123" s="62" t="s">
        <v>14</v>
      </c>
      <c r="D123" s="62" t="s">
        <v>15</v>
      </c>
      <c r="E123" s="62" t="s">
        <v>273</v>
      </c>
      <c r="F123" s="63" t="s">
        <v>395</v>
      </c>
      <c r="G123" s="64" t="s">
        <v>429</v>
      </c>
      <c r="H123" s="64" t="s">
        <v>430</v>
      </c>
      <c r="I123" s="88">
        <v>303</v>
      </c>
      <c r="J123" s="65">
        <v>190</v>
      </c>
      <c r="K123" s="103">
        <v>4</v>
      </c>
      <c r="L123" s="68" t="s">
        <v>591</v>
      </c>
      <c r="M123" s="62" t="s">
        <v>18</v>
      </c>
      <c r="N123" s="65" t="s">
        <v>19</v>
      </c>
      <c r="O123" s="66" t="s">
        <v>874</v>
      </c>
      <c r="P123" s="68" t="s">
        <v>875</v>
      </c>
      <c r="Q123" s="105" t="s">
        <v>876</v>
      </c>
    </row>
    <row r="124" spans="2:17" s="76" customFormat="1" ht="148.5" x14ac:dyDescent="0.3">
      <c r="B124" s="104">
        <f t="shared" si="1"/>
        <v>119</v>
      </c>
      <c r="C124" s="62" t="s">
        <v>14</v>
      </c>
      <c r="D124" s="62" t="s">
        <v>15</v>
      </c>
      <c r="E124" s="62" t="s">
        <v>273</v>
      </c>
      <c r="F124" s="63" t="s">
        <v>395</v>
      </c>
      <c r="G124" s="64" t="s">
        <v>431</v>
      </c>
      <c r="H124" s="64" t="s">
        <v>432</v>
      </c>
      <c r="I124" s="88" t="s">
        <v>454</v>
      </c>
      <c r="J124" s="65" t="s">
        <v>454</v>
      </c>
      <c r="K124" s="103">
        <v>6</v>
      </c>
      <c r="L124" s="78" t="s">
        <v>592</v>
      </c>
      <c r="M124" s="62" t="s">
        <v>18</v>
      </c>
      <c r="N124" s="65" t="s">
        <v>19</v>
      </c>
      <c r="O124" s="66" t="s">
        <v>839</v>
      </c>
      <c r="P124" s="68" t="s">
        <v>877</v>
      </c>
      <c r="Q124" s="105" t="s">
        <v>878</v>
      </c>
    </row>
    <row r="125" spans="2:17" s="76" customFormat="1" ht="67.5" x14ac:dyDescent="0.3">
      <c r="B125" s="104">
        <f t="shared" si="1"/>
        <v>120</v>
      </c>
      <c r="C125" s="62" t="s">
        <v>14</v>
      </c>
      <c r="D125" s="62" t="s">
        <v>15</v>
      </c>
      <c r="E125" s="62" t="s">
        <v>16</v>
      </c>
      <c r="F125" s="63" t="s">
        <v>433</v>
      </c>
      <c r="G125" s="64" t="s">
        <v>434</v>
      </c>
      <c r="H125" s="64" t="s">
        <v>435</v>
      </c>
      <c r="I125" s="88" t="s">
        <v>454</v>
      </c>
      <c r="J125" s="94" t="s">
        <v>454</v>
      </c>
      <c r="K125" s="103">
        <v>8</v>
      </c>
      <c r="L125" s="68" t="s">
        <v>593</v>
      </c>
      <c r="M125" s="62" t="s">
        <v>18</v>
      </c>
      <c r="N125" s="65" t="s">
        <v>19</v>
      </c>
      <c r="O125" s="66" t="s">
        <v>717</v>
      </c>
      <c r="P125" s="68" t="s">
        <v>879</v>
      </c>
      <c r="Q125" s="105" t="s">
        <v>880</v>
      </c>
    </row>
    <row r="126" spans="2:17" s="76" customFormat="1" ht="124.5" customHeight="1" x14ac:dyDescent="0.3">
      <c r="B126" s="104">
        <f t="shared" si="1"/>
        <v>121</v>
      </c>
      <c r="C126" s="62" t="s">
        <v>14</v>
      </c>
      <c r="D126" s="62" t="s">
        <v>15</v>
      </c>
      <c r="E126" s="62" t="s">
        <v>16</v>
      </c>
      <c r="F126" s="63" t="s">
        <v>436</v>
      </c>
      <c r="G126" s="64" t="s">
        <v>437</v>
      </c>
      <c r="H126" s="64" t="s">
        <v>438</v>
      </c>
      <c r="I126" s="88">
        <v>521</v>
      </c>
      <c r="J126" s="94" t="s">
        <v>484</v>
      </c>
      <c r="K126" s="103">
        <v>4</v>
      </c>
      <c r="L126" s="68" t="s">
        <v>594</v>
      </c>
      <c r="M126" s="62" t="s">
        <v>18</v>
      </c>
      <c r="N126" s="65" t="s">
        <v>19</v>
      </c>
      <c r="O126" s="66" t="s">
        <v>35</v>
      </c>
      <c r="P126" s="68" t="s">
        <v>881</v>
      </c>
      <c r="Q126" s="105" t="s">
        <v>882</v>
      </c>
    </row>
    <row r="127" spans="2:17" s="76" customFormat="1" ht="94.5" x14ac:dyDescent="0.3">
      <c r="B127" s="104">
        <f t="shared" si="1"/>
        <v>122</v>
      </c>
      <c r="C127" s="62" t="s">
        <v>14</v>
      </c>
      <c r="D127" s="62" t="s">
        <v>15</v>
      </c>
      <c r="E127" s="62" t="s">
        <v>16</v>
      </c>
      <c r="F127" s="63" t="s">
        <v>436</v>
      </c>
      <c r="G127" s="64" t="s">
        <v>439</v>
      </c>
      <c r="H127" s="64" t="s">
        <v>440</v>
      </c>
      <c r="I127" s="88">
        <v>398</v>
      </c>
      <c r="J127" s="65" t="s">
        <v>455</v>
      </c>
      <c r="K127" s="103">
        <v>2</v>
      </c>
      <c r="L127" s="68" t="s">
        <v>595</v>
      </c>
      <c r="M127" s="62" t="s">
        <v>18</v>
      </c>
      <c r="N127" s="65" t="s">
        <v>19</v>
      </c>
      <c r="O127" s="66" t="s">
        <v>883</v>
      </c>
      <c r="P127" s="68" t="s">
        <v>884</v>
      </c>
      <c r="Q127" s="105" t="s">
        <v>885</v>
      </c>
    </row>
    <row r="128" spans="2:17" s="82" customFormat="1" ht="81" x14ac:dyDescent="0.3">
      <c r="B128" s="104">
        <f t="shared" si="1"/>
        <v>123</v>
      </c>
      <c r="C128" s="62" t="s">
        <v>14</v>
      </c>
      <c r="D128" s="62" t="s">
        <v>15</v>
      </c>
      <c r="E128" s="62" t="s">
        <v>16</v>
      </c>
      <c r="F128" s="63" t="s">
        <v>436</v>
      </c>
      <c r="G128" s="64" t="s">
        <v>441</v>
      </c>
      <c r="H128" s="64" t="s">
        <v>442</v>
      </c>
      <c r="I128" s="88" t="s">
        <v>454</v>
      </c>
      <c r="J128" s="94" t="s">
        <v>454</v>
      </c>
      <c r="K128" s="103">
        <v>2</v>
      </c>
      <c r="L128" s="68" t="s">
        <v>596</v>
      </c>
      <c r="M128" s="62" t="s">
        <v>18</v>
      </c>
      <c r="N128" s="65" t="s">
        <v>19</v>
      </c>
      <c r="O128" s="66" t="s">
        <v>883</v>
      </c>
      <c r="P128" s="68" t="s">
        <v>886</v>
      </c>
      <c r="Q128" s="105" t="s">
        <v>887</v>
      </c>
    </row>
    <row r="129" spans="2:17" s="82" customFormat="1" ht="148.5" x14ac:dyDescent="0.3">
      <c r="B129" s="104">
        <f t="shared" si="1"/>
        <v>124</v>
      </c>
      <c r="C129" s="44" t="s">
        <v>14</v>
      </c>
      <c r="D129" s="44" t="s">
        <v>15</v>
      </c>
      <c r="E129" s="44" t="s">
        <v>16</v>
      </c>
      <c r="F129" s="53" t="s">
        <v>116</v>
      </c>
      <c r="G129" s="45" t="s">
        <v>117</v>
      </c>
      <c r="H129" s="45" t="s">
        <v>443</v>
      </c>
      <c r="I129" s="60">
        <v>19</v>
      </c>
      <c r="J129" s="46" t="s">
        <v>485</v>
      </c>
      <c r="K129" s="103">
        <v>1</v>
      </c>
      <c r="L129" s="54" t="s">
        <v>156</v>
      </c>
      <c r="M129" s="44" t="s">
        <v>18</v>
      </c>
      <c r="N129" s="46" t="s">
        <v>157</v>
      </c>
      <c r="O129" s="47" t="s">
        <v>158</v>
      </c>
      <c r="P129" s="54" t="s">
        <v>159</v>
      </c>
      <c r="Q129" s="57" t="s">
        <v>160</v>
      </c>
    </row>
    <row r="130" spans="2:17" s="76" customFormat="1" ht="121.5" x14ac:dyDescent="0.3">
      <c r="B130" s="104">
        <f t="shared" si="1"/>
        <v>125</v>
      </c>
      <c r="C130" s="44" t="s">
        <v>14</v>
      </c>
      <c r="D130" s="44" t="s">
        <v>15</v>
      </c>
      <c r="E130" s="44" t="s">
        <v>16</v>
      </c>
      <c r="F130" s="53" t="s">
        <v>116</v>
      </c>
      <c r="G130" s="45" t="s">
        <v>444</v>
      </c>
      <c r="H130" s="45" t="s">
        <v>445</v>
      </c>
      <c r="I130" s="60">
        <v>244</v>
      </c>
      <c r="J130" s="46" t="s">
        <v>27</v>
      </c>
      <c r="K130" s="103">
        <v>2</v>
      </c>
      <c r="L130" s="54" t="s">
        <v>597</v>
      </c>
      <c r="M130" s="44" t="s">
        <v>18</v>
      </c>
      <c r="N130" s="46" t="s">
        <v>19</v>
      </c>
      <c r="O130" s="47" t="s">
        <v>888</v>
      </c>
      <c r="P130" s="97" t="s">
        <v>889</v>
      </c>
      <c r="Q130" s="57" t="s">
        <v>890</v>
      </c>
    </row>
    <row r="131" spans="2:17" s="76" customFormat="1" ht="94.5" x14ac:dyDescent="0.3">
      <c r="B131" s="104">
        <f t="shared" si="1"/>
        <v>126</v>
      </c>
      <c r="C131" s="62" t="s">
        <v>14</v>
      </c>
      <c r="D131" s="62" t="s">
        <v>15</v>
      </c>
      <c r="E131" s="62" t="s">
        <v>16</v>
      </c>
      <c r="F131" s="63" t="s">
        <v>116</v>
      </c>
      <c r="G131" s="64" t="s">
        <v>446</v>
      </c>
      <c r="H131" s="64" t="s">
        <v>447</v>
      </c>
      <c r="I131" s="65">
        <v>96</v>
      </c>
      <c r="J131" s="65">
        <v>145</v>
      </c>
      <c r="K131" s="103">
        <v>1</v>
      </c>
      <c r="L131" s="66" t="s">
        <v>598</v>
      </c>
      <c r="M131" s="65" t="s">
        <v>18</v>
      </c>
      <c r="N131" s="65" t="s">
        <v>19</v>
      </c>
      <c r="O131" s="66" t="s">
        <v>891</v>
      </c>
      <c r="P131" s="98" t="s">
        <v>892</v>
      </c>
      <c r="Q131" s="75" t="s">
        <v>893</v>
      </c>
    </row>
    <row r="132" spans="2:17" s="76" customFormat="1" ht="108" x14ac:dyDescent="0.3">
      <c r="B132" s="104">
        <f t="shared" si="1"/>
        <v>127</v>
      </c>
      <c r="C132" s="44" t="s">
        <v>95</v>
      </c>
      <c r="D132" s="44" t="s">
        <v>96</v>
      </c>
      <c r="E132" s="44" t="s">
        <v>97</v>
      </c>
      <c r="F132" s="44" t="s">
        <v>118</v>
      </c>
      <c r="G132" s="49" t="s">
        <v>119</v>
      </c>
      <c r="H132" s="49" t="s">
        <v>120</v>
      </c>
      <c r="I132" s="44">
        <v>79</v>
      </c>
      <c r="J132" s="44">
        <v>133</v>
      </c>
      <c r="K132" s="103">
        <v>6</v>
      </c>
      <c r="L132" s="50" t="s">
        <v>599</v>
      </c>
      <c r="M132" s="44" t="s">
        <v>130</v>
      </c>
      <c r="N132" s="44" t="s">
        <v>131</v>
      </c>
      <c r="O132" s="47" t="s">
        <v>161</v>
      </c>
      <c r="P132" s="50" t="s">
        <v>894</v>
      </c>
      <c r="Q132" s="56" t="s">
        <v>162</v>
      </c>
    </row>
    <row r="133" spans="2:17" s="76" customFormat="1" ht="121.5" x14ac:dyDescent="0.3">
      <c r="B133" s="104">
        <f t="shared" ref="B133:B134" si="2">ROW()-5</f>
        <v>128</v>
      </c>
      <c r="C133" s="62" t="s">
        <v>448</v>
      </c>
      <c r="D133" s="62" t="s">
        <v>15</v>
      </c>
      <c r="E133" s="62" t="s">
        <v>16</v>
      </c>
      <c r="F133" s="63" t="s">
        <v>449</v>
      </c>
      <c r="G133" s="64" t="s">
        <v>450</v>
      </c>
      <c r="H133" s="64" t="s">
        <v>451</v>
      </c>
      <c r="I133" s="92" t="s">
        <v>454</v>
      </c>
      <c r="J133" s="92" t="s">
        <v>454</v>
      </c>
      <c r="K133" s="103">
        <v>2</v>
      </c>
      <c r="L133" s="66" t="s">
        <v>600</v>
      </c>
      <c r="M133" s="65" t="s">
        <v>18</v>
      </c>
      <c r="N133" s="65" t="s">
        <v>19</v>
      </c>
      <c r="O133" s="66"/>
      <c r="P133" s="98" t="s">
        <v>895</v>
      </c>
      <c r="Q133" s="75" t="s">
        <v>896</v>
      </c>
    </row>
    <row r="134" spans="2:17" s="82" customFormat="1" ht="95.25" thickBot="1" x14ac:dyDescent="0.35">
      <c r="B134" s="119">
        <f t="shared" si="2"/>
        <v>129</v>
      </c>
      <c r="C134" s="110" t="s">
        <v>448</v>
      </c>
      <c r="D134" s="110" t="s">
        <v>21</v>
      </c>
      <c r="E134" s="110" t="s">
        <v>357</v>
      </c>
      <c r="F134" s="111" t="s">
        <v>358</v>
      </c>
      <c r="G134" s="112" t="s">
        <v>452</v>
      </c>
      <c r="H134" s="112" t="s">
        <v>453</v>
      </c>
      <c r="I134" s="113">
        <v>13</v>
      </c>
      <c r="J134" s="113">
        <v>13</v>
      </c>
      <c r="K134" s="114">
        <v>1</v>
      </c>
      <c r="L134" s="115" t="s">
        <v>601</v>
      </c>
      <c r="M134" s="116" t="s">
        <v>24</v>
      </c>
      <c r="N134" s="116" t="s">
        <v>19</v>
      </c>
      <c r="O134" s="115" t="s">
        <v>897</v>
      </c>
      <c r="P134" s="117" t="s">
        <v>898</v>
      </c>
      <c r="Q134" s="118" t="s">
        <v>899</v>
      </c>
    </row>
    <row r="135" spans="2:17" s="2" customFormat="1" x14ac:dyDescent="0.3">
      <c r="B135" s="1"/>
      <c r="C135" s="1"/>
      <c r="D135" s="1"/>
      <c r="E135" s="1"/>
      <c r="F135" s="1"/>
      <c r="I135" s="1"/>
      <c r="J135" s="1"/>
      <c r="K135" s="1"/>
      <c r="L135" s="1"/>
      <c r="M135" s="1"/>
      <c r="N135" s="1"/>
      <c r="O135" s="3"/>
      <c r="P135" s="1"/>
      <c r="Q135" s="1"/>
    </row>
    <row r="141" spans="2:17" s="2" customFormat="1" x14ac:dyDescent="0.3">
      <c r="B141" s="1"/>
      <c r="C141" s="1"/>
      <c r="D141" s="1"/>
      <c r="E141" s="1"/>
      <c r="F141" s="1"/>
      <c r="I141" s="1"/>
      <c r="J141" s="1"/>
      <c r="K141" s="1"/>
      <c r="L141" s="1"/>
      <c r="M141" s="1"/>
      <c r="N141" s="1"/>
      <c r="O141" s="3"/>
      <c r="P141" s="1"/>
      <c r="Q141" s="1"/>
    </row>
    <row r="142" spans="2:17" s="2" customFormat="1" x14ac:dyDescent="0.3">
      <c r="B142" s="1"/>
      <c r="C142" s="1"/>
      <c r="D142" s="1"/>
      <c r="E142" s="1"/>
      <c r="F142" s="1"/>
      <c r="I142" s="1"/>
      <c r="J142" s="1"/>
      <c r="K142" s="1"/>
      <c r="L142" s="1"/>
      <c r="M142" s="1"/>
      <c r="N142" s="1"/>
      <c r="O142" s="3"/>
      <c r="P142" s="1"/>
      <c r="Q142" s="1"/>
    </row>
    <row r="145" spans="2:17" s="2" customFormat="1" x14ac:dyDescent="0.3">
      <c r="B145" s="1"/>
      <c r="C145" s="1"/>
      <c r="D145" s="1"/>
      <c r="E145" s="1"/>
      <c r="F145" s="1"/>
      <c r="I145" s="1"/>
      <c r="J145" s="1"/>
      <c r="K145" s="1"/>
      <c r="L145" s="1"/>
      <c r="M145" s="1"/>
      <c r="N145" s="1"/>
      <c r="O145" s="3"/>
      <c r="P145" s="1"/>
      <c r="Q145" s="1"/>
    </row>
    <row r="146" spans="2:17" s="2" customFormat="1" x14ac:dyDescent="0.3">
      <c r="B146" s="1"/>
      <c r="C146" s="1"/>
      <c r="D146" s="1"/>
      <c r="E146" s="1"/>
      <c r="F146" s="1"/>
      <c r="I146" s="1"/>
      <c r="J146" s="1"/>
      <c r="K146" s="1"/>
      <c r="L146" s="1"/>
      <c r="M146" s="1"/>
      <c r="N146" s="1"/>
      <c r="O146" s="3"/>
      <c r="P146" s="1"/>
      <c r="Q146" s="1"/>
    </row>
    <row r="152" spans="2:17" s="2" customFormat="1" x14ac:dyDescent="0.3">
      <c r="B152" s="1"/>
      <c r="C152" s="1"/>
      <c r="D152" s="1"/>
      <c r="E152" s="1"/>
      <c r="F152" s="1"/>
      <c r="I152" s="1"/>
      <c r="J152" s="1"/>
      <c r="K152" s="1"/>
      <c r="L152" s="1"/>
      <c r="M152" s="1"/>
      <c r="N152" s="1"/>
      <c r="O152" s="3"/>
      <c r="P152" s="1"/>
      <c r="Q152" s="1"/>
    </row>
    <row r="153" spans="2:17" s="2" customFormat="1" x14ac:dyDescent="0.3">
      <c r="B153" s="1"/>
      <c r="C153" s="1"/>
      <c r="D153" s="1"/>
      <c r="E153" s="1"/>
      <c r="F153" s="1"/>
      <c r="I153" s="1"/>
      <c r="J153" s="1"/>
      <c r="K153" s="1"/>
      <c r="L153" s="1"/>
      <c r="M153" s="1"/>
      <c r="N153" s="1"/>
      <c r="O153" s="3"/>
      <c r="P153" s="1"/>
      <c r="Q153" s="1"/>
    </row>
    <row r="159" spans="2:17" s="2" customFormat="1" x14ac:dyDescent="0.3">
      <c r="B159" s="1"/>
      <c r="C159" s="1"/>
      <c r="D159" s="1"/>
      <c r="E159" s="1"/>
      <c r="F159" s="1"/>
      <c r="I159" s="1"/>
      <c r="J159" s="1"/>
      <c r="K159" s="1"/>
      <c r="L159" s="1"/>
      <c r="M159" s="1"/>
      <c r="N159" s="1"/>
      <c r="O159" s="3"/>
      <c r="P159" s="1"/>
      <c r="Q159" s="1"/>
    </row>
    <row r="160" spans="2:17" s="2" customFormat="1" x14ac:dyDescent="0.3">
      <c r="B160" s="1"/>
      <c r="C160" s="1"/>
      <c r="D160" s="1"/>
      <c r="E160" s="1"/>
      <c r="F160" s="1"/>
      <c r="I160" s="1"/>
      <c r="J160" s="1"/>
      <c r="K160" s="1"/>
      <c r="L160" s="1"/>
      <c r="M160" s="1"/>
      <c r="N160" s="1"/>
      <c r="O160" s="3"/>
      <c r="P160" s="1"/>
      <c r="Q160" s="1"/>
    </row>
    <row r="163" spans="2:17" s="2" customFormat="1" x14ac:dyDescent="0.3">
      <c r="B163" s="1"/>
      <c r="C163" s="1"/>
      <c r="D163" s="1"/>
      <c r="E163" s="1"/>
      <c r="F163" s="1"/>
      <c r="I163" s="1"/>
      <c r="J163" s="1"/>
      <c r="K163" s="1"/>
      <c r="L163" s="1"/>
      <c r="M163" s="1"/>
      <c r="N163" s="1"/>
      <c r="O163" s="3"/>
      <c r="P163" s="1"/>
      <c r="Q163" s="1"/>
    </row>
    <row r="164" spans="2:17" s="2" customFormat="1" x14ac:dyDescent="0.3">
      <c r="B164" s="1"/>
      <c r="C164" s="1"/>
      <c r="D164" s="1"/>
      <c r="E164" s="1"/>
      <c r="F164" s="1"/>
      <c r="I164" s="1"/>
      <c r="J164" s="1"/>
      <c r="K164" s="1"/>
      <c r="L164" s="1"/>
      <c r="M164" s="1"/>
      <c r="N164" s="1"/>
      <c r="O164" s="3"/>
      <c r="P164" s="1"/>
      <c r="Q164" s="1"/>
    </row>
    <row r="170" spans="2:17" s="2" customFormat="1" x14ac:dyDescent="0.3">
      <c r="B170" s="1"/>
      <c r="C170" s="1"/>
      <c r="D170" s="1"/>
      <c r="E170" s="1"/>
      <c r="F170" s="1"/>
      <c r="I170" s="1"/>
      <c r="J170" s="1"/>
      <c r="K170" s="1"/>
      <c r="L170" s="1"/>
      <c r="M170" s="1"/>
      <c r="N170" s="1"/>
      <c r="O170" s="3"/>
      <c r="P170" s="1"/>
      <c r="Q170" s="1"/>
    </row>
    <row r="171" spans="2:17" s="2" customFormat="1" x14ac:dyDescent="0.3">
      <c r="B171" s="1"/>
      <c r="C171" s="1"/>
      <c r="D171" s="1"/>
      <c r="E171" s="1"/>
      <c r="F171" s="1"/>
      <c r="I171" s="1"/>
      <c r="J171" s="1"/>
      <c r="K171" s="1"/>
      <c r="L171" s="1"/>
      <c r="M171" s="1"/>
      <c r="N171" s="1"/>
      <c r="O171" s="3"/>
      <c r="P171" s="1"/>
      <c r="Q171" s="1"/>
    </row>
    <row r="174" spans="2:17" s="2" customFormat="1" x14ac:dyDescent="0.3">
      <c r="B174" s="1"/>
      <c r="C174" s="1"/>
      <c r="D174" s="1"/>
      <c r="E174" s="1"/>
      <c r="F174" s="1"/>
      <c r="I174" s="1"/>
      <c r="J174" s="1"/>
      <c r="K174" s="1"/>
      <c r="L174" s="1"/>
      <c r="M174" s="1"/>
      <c r="N174" s="1"/>
      <c r="O174" s="3"/>
      <c r="P174" s="1"/>
      <c r="Q174" s="1"/>
    </row>
    <row r="175" spans="2:17" s="2" customFormat="1" x14ac:dyDescent="0.3">
      <c r="B175" s="1"/>
      <c r="C175" s="1"/>
      <c r="D175" s="1"/>
      <c r="E175" s="1"/>
      <c r="F175" s="1"/>
      <c r="I175" s="1"/>
      <c r="J175" s="1"/>
      <c r="K175" s="1"/>
      <c r="L175" s="1"/>
      <c r="M175" s="1"/>
      <c r="N175" s="1"/>
      <c r="O175" s="3"/>
      <c r="P175" s="1"/>
      <c r="Q175" s="1"/>
    </row>
    <row r="178" spans="2:17" s="2" customFormat="1" x14ac:dyDescent="0.3">
      <c r="B178" s="1"/>
      <c r="C178" s="1"/>
      <c r="D178" s="1"/>
      <c r="E178" s="1"/>
      <c r="F178" s="1"/>
      <c r="I178" s="1"/>
      <c r="J178" s="1"/>
      <c r="K178" s="1"/>
      <c r="L178" s="1"/>
      <c r="M178" s="1"/>
      <c r="N178" s="1"/>
      <c r="O178" s="3"/>
      <c r="P178" s="1"/>
      <c r="Q178" s="1"/>
    </row>
    <row r="179" spans="2:17" s="2" customFormat="1" x14ac:dyDescent="0.3">
      <c r="B179" s="1"/>
      <c r="C179" s="1"/>
      <c r="D179" s="1"/>
      <c r="E179" s="1"/>
      <c r="F179" s="1"/>
      <c r="I179" s="1"/>
      <c r="J179" s="1"/>
      <c r="K179" s="1"/>
      <c r="L179" s="1"/>
      <c r="M179" s="1"/>
      <c r="N179" s="1"/>
      <c r="O179" s="3"/>
      <c r="P179" s="1"/>
      <c r="Q179" s="1"/>
    </row>
    <row r="181" spans="2:17" s="2" customFormat="1" x14ac:dyDescent="0.3">
      <c r="B181" s="1"/>
      <c r="C181" s="1"/>
      <c r="D181" s="1"/>
      <c r="E181" s="1"/>
      <c r="F181" s="1"/>
      <c r="I181" s="1"/>
      <c r="J181" s="1"/>
      <c r="K181" s="1"/>
      <c r="L181" s="1"/>
      <c r="M181" s="1"/>
      <c r="N181" s="1"/>
      <c r="O181" s="3"/>
      <c r="P181" s="1"/>
      <c r="Q181" s="1"/>
    </row>
    <row r="182" spans="2:17" s="2" customFormat="1" x14ac:dyDescent="0.3">
      <c r="B182" s="1"/>
      <c r="C182" s="1"/>
      <c r="D182" s="1"/>
      <c r="E182" s="1"/>
      <c r="F182" s="1"/>
      <c r="I182" s="1"/>
      <c r="J182" s="1"/>
      <c r="K182" s="1"/>
      <c r="L182" s="1"/>
      <c r="M182" s="1"/>
      <c r="N182" s="1"/>
      <c r="O182" s="3"/>
      <c r="P182" s="1"/>
      <c r="Q182" s="1"/>
    </row>
    <row r="185" spans="2:17" s="2" customFormat="1" x14ac:dyDescent="0.3">
      <c r="B185" s="1"/>
      <c r="C185" s="1"/>
      <c r="D185" s="1"/>
      <c r="E185" s="1"/>
      <c r="F185" s="1"/>
      <c r="I185" s="1"/>
      <c r="J185" s="1"/>
      <c r="K185" s="1"/>
      <c r="L185" s="1"/>
      <c r="M185" s="1"/>
      <c r="N185" s="1"/>
      <c r="O185" s="3"/>
      <c r="P185" s="1"/>
      <c r="Q185" s="1"/>
    </row>
    <row r="186" spans="2:17" s="2" customFormat="1" x14ac:dyDescent="0.3">
      <c r="B186" s="1"/>
      <c r="C186" s="1"/>
      <c r="D186" s="1"/>
      <c r="E186" s="1"/>
      <c r="F186" s="1"/>
      <c r="I186" s="1"/>
      <c r="J186" s="1"/>
      <c r="K186" s="1"/>
      <c r="L186" s="1"/>
      <c r="M186" s="1"/>
      <c r="N186" s="1"/>
      <c r="O186" s="3"/>
      <c r="P186" s="1"/>
      <c r="Q186" s="1"/>
    </row>
    <row r="189" spans="2:17" s="2" customFormat="1" x14ac:dyDescent="0.3">
      <c r="B189" s="1"/>
      <c r="C189" s="1"/>
      <c r="D189" s="1"/>
      <c r="E189" s="1"/>
      <c r="F189" s="1"/>
      <c r="I189" s="1"/>
      <c r="J189" s="1"/>
      <c r="K189" s="1"/>
      <c r="L189" s="1"/>
      <c r="M189" s="1"/>
      <c r="N189" s="1"/>
      <c r="O189" s="3"/>
      <c r="P189" s="1"/>
      <c r="Q189" s="1"/>
    </row>
    <row r="190" spans="2:17" s="2" customFormat="1" x14ac:dyDescent="0.3">
      <c r="B190" s="1"/>
      <c r="C190" s="1"/>
      <c r="D190" s="1"/>
      <c r="E190" s="1"/>
      <c r="F190" s="1"/>
      <c r="I190" s="1"/>
      <c r="J190" s="1"/>
      <c r="K190" s="1"/>
      <c r="L190" s="1"/>
      <c r="M190" s="1"/>
      <c r="N190" s="1"/>
      <c r="O190" s="3"/>
      <c r="P190" s="1"/>
      <c r="Q190" s="1"/>
    </row>
    <row r="192" spans="2:17" s="2" customFormat="1" x14ac:dyDescent="0.3">
      <c r="B192" s="1"/>
      <c r="C192" s="1"/>
      <c r="D192" s="1"/>
      <c r="E192" s="1"/>
      <c r="F192" s="1"/>
      <c r="I192" s="1"/>
      <c r="J192" s="1"/>
      <c r="K192" s="1"/>
      <c r="L192" s="1"/>
      <c r="M192" s="1"/>
      <c r="N192" s="1"/>
      <c r="O192" s="3"/>
      <c r="P192" s="1"/>
      <c r="Q192" s="1"/>
    </row>
    <row r="193" spans="2:17" s="2" customFormat="1" x14ac:dyDescent="0.3">
      <c r="B193" s="1"/>
      <c r="C193" s="1"/>
      <c r="D193" s="1"/>
      <c r="E193" s="1"/>
      <c r="F193" s="1"/>
      <c r="I193" s="1"/>
      <c r="J193" s="1"/>
      <c r="K193" s="1"/>
      <c r="L193" s="1"/>
      <c r="M193" s="1"/>
      <c r="N193" s="1"/>
      <c r="O193" s="3"/>
      <c r="P193" s="1"/>
      <c r="Q193" s="1"/>
    </row>
    <row r="196" spans="2:17" s="2" customFormat="1" x14ac:dyDescent="0.3">
      <c r="B196" s="1"/>
      <c r="C196" s="1"/>
      <c r="D196" s="1"/>
      <c r="E196" s="1"/>
      <c r="F196" s="1"/>
      <c r="I196" s="1"/>
      <c r="J196" s="1"/>
      <c r="K196" s="1"/>
      <c r="L196" s="1"/>
      <c r="M196" s="1"/>
      <c r="N196" s="1"/>
      <c r="O196" s="3"/>
      <c r="P196" s="1"/>
      <c r="Q196" s="1"/>
    </row>
    <row r="197" spans="2:17" s="2" customFormat="1" x14ac:dyDescent="0.3">
      <c r="B197" s="1"/>
      <c r="C197" s="1"/>
      <c r="D197" s="1"/>
      <c r="E197" s="1"/>
      <c r="F197" s="1"/>
      <c r="I197" s="1"/>
      <c r="J197" s="1"/>
      <c r="K197" s="1"/>
      <c r="L197" s="1"/>
      <c r="M197" s="1"/>
      <c r="N197" s="1"/>
      <c r="O197" s="3"/>
      <c r="P197" s="1"/>
      <c r="Q197" s="1"/>
    </row>
    <row r="198" spans="2:17" s="2" customFormat="1" x14ac:dyDescent="0.3">
      <c r="B198" s="1"/>
      <c r="C198" s="1"/>
      <c r="D198" s="1"/>
      <c r="E198" s="1"/>
      <c r="F198" s="1"/>
      <c r="I198" s="1"/>
      <c r="J198" s="1"/>
      <c r="K198" s="1"/>
      <c r="L198" s="1"/>
      <c r="M198" s="1"/>
      <c r="N198" s="1"/>
      <c r="O198" s="3"/>
      <c r="P198" s="1"/>
      <c r="Q198" s="1"/>
    </row>
    <row r="199" spans="2:17" s="2" customFormat="1" x14ac:dyDescent="0.3">
      <c r="B199" s="1"/>
      <c r="C199" s="1"/>
      <c r="D199" s="1"/>
      <c r="E199" s="1"/>
      <c r="F199" s="1"/>
      <c r="I199" s="1"/>
      <c r="J199" s="1"/>
      <c r="K199" s="1"/>
      <c r="L199" s="1"/>
      <c r="M199" s="1"/>
      <c r="N199" s="1"/>
      <c r="O199" s="3"/>
      <c r="P199" s="1"/>
      <c r="Q199" s="1"/>
    </row>
    <row r="209" spans="2:17" s="2" customFormat="1" x14ac:dyDescent="0.3">
      <c r="B209" s="1"/>
      <c r="C209" s="1"/>
      <c r="D209" s="1"/>
      <c r="E209" s="1"/>
      <c r="F209" s="1"/>
      <c r="I209" s="1"/>
      <c r="J209" s="1"/>
      <c r="K209" s="1"/>
      <c r="L209" s="1"/>
      <c r="M209" s="1"/>
      <c r="N209" s="1"/>
      <c r="O209" s="3"/>
      <c r="P209" s="1"/>
      <c r="Q209" s="1"/>
    </row>
    <row r="210" spans="2:17" s="2" customFormat="1" x14ac:dyDescent="0.3">
      <c r="B210" s="1"/>
      <c r="C210" s="1"/>
      <c r="D210" s="1"/>
      <c r="E210" s="1"/>
      <c r="F210" s="1"/>
      <c r="I210" s="1"/>
      <c r="J210" s="1"/>
      <c r="K210" s="1"/>
      <c r="L210" s="1"/>
      <c r="M210" s="1"/>
      <c r="N210" s="1"/>
      <c r="O210" s="3"/>
      <c r="P210" s="1"/>
      <c r="Q210" s="1"/>
    </row>
    <row r="211" spans="2:17" s="2" customFormat="1" x14ac:dyDescent="0.3">
      <c r="B211" s="1"/>
      <c r="C211" s="1"/>
      <c r="D211" s="1"/>
      <c r="E211" s="1"/>
      <c r="F211" s="1"/>
      <c r="I211" s="1"/>
      <c r="J211" s="1"/>
      <c r="K211" s="1"/>
      <c r="L211" s="1"/>
      <c r="M211" s="1"/>
      <c r="N211" s="1"/>
      <c r="O211" s="3"/>
      <c r="P211" s="1"/>
      <c r="Q211" s="1"/>
    </row>
    <row r="212" spans="2:17" s="2" customFormat="1" x14ac:dyDescent="0.3">
      <c r="B212" s="1"/>
      <c r="C212" s="1"/>
      <c r="D212" s="1"/>
      <c r="E212" s="1"/>
      <c r="F212" s="1"/>
      <c r="I212" s="1"/>
      <c r="J212" s="1"/>
      <c r="K212" s="1"/>
      <c r="L212" s="1"/>
      <c r="M212" s="1"/>
      <c r="N212" s="1"/>
      <c r="O212" s="3"/>
      <c r="P212" s="1"/>
      <c r="Q212" s="1"/>
    </row>
    <row r="213" spans="2:17" s="2" customFormat="1" x14ac:dyDescent="0.3">
      <c r="B213" s="1"/>
      <c r="C213" s="1"/>
      <c r="D213" s="1"/>
      <c r="E213" s="1"/>
      <c r="F213" s="1"/>
      <c r="I213" s="1"/>
      <c r="J213" s="1"/>
      <c r="K213" s="1"/>
      <c r="L213" s="1"/>
      <c r="M213" s="1"/>
      <c r="N213" s="1"/>
      <c r="O213" s="3"/>
      <c r="P213" s="1"/>
      <c r="Q213" s="1"/>
    </row>
    <row r="214" spans="2:17" s="2" customFormat="1" x14ac:dyDescent="0.3">
      <c r="B214" s="1"/>
      <c r="C214" s="1"/>
      <c r="D214" s="1"/>
      <c r="E214" s="1"/>
      <c r="F214" s="1"/>
      <c r="I214" s="1"/>
      <c r="J214" s="1"/>
      <c r="K214" s="1"/>
      <c r="L214" s="1"/>
      <c r="M214" s="1"/>
      <c r="N214" s="1"/>
      <c r="O214" s="3"/>
      <c r="P214" s="1"/>
      <c r="Q214" s="1"/>
    </row>
  </sheetData>
  <autoFilter ref="A5:Q134" xr:uid="{A870E140-8EAA-498A-90E2-C5A765734F49}"/>
  <mergeCells count="2">
    <mergeCell ref="I2:J2"/>
    <mergeCell ref="L2:N2"/>
  </mergeCells>
  <phoneticPr fontId="4" type="noConversion"/>
  <conditionalFormatting sqref="H135:H1048576 H1:H5">
    <cfRule type="duplicateValues" dxfId="105" priority="240"/>
  </conditionalFormatting>
  <conditionalFormatting sqref="G29">
    <cfRule type="duplicateValues" dxfId="104" priority="93"/>
  </conditionalFormatting>
  <conditionalFormatting sqref="G92">
    <cfRule type="duplicateValues" dxfId="103" priority="85"/>
  </conditionalFormatting>
  <conditionalFormatting sqref="G30">
    <cfRule type="duplicateValues" dxfId="102" priority="86"/>
    <cfRule type="duplicateValues" dxfId="101" priority="87"/>
    <cfRule type="duplicateValues" dxfId="100" priority="88"/>
  </conditionalFormatting>
  <conditionalFormatting sqref="G33">
    <cfRule type="duplicateValues" dxfId="99" priority="82"/>
  </conditionalFormatting>
  <conditionalFormatting sqref="G73">
    <cfRule type="duplicateValues" dxfId="98" priority="98"/>
  </conditionalFormatting>
  <conditionalFormatting sqref="G42">
    <cfRule type="duplicateValues" dxfId="97" priority="83"/>
    <cfRule type="duplicateValues" dxfId="96" priority="84"/>
  </conditionalFormatting>
  <conditionalFormatting sqref="G97">
    <cfRule type="duplicateValues" dxfId="95" priority="96"/>
  </conditionalFormatting>
  <conditionalFormatting sqref="G93 G98">
    <cfRule type="duplicateValues" dxfId="94" priority="95"/>
  </conditionalFormatting>
  <conditionalFormatting sqref="G43">
    <cfRule type="duplicateValues" dxfId="93" priority="91"/>
  </conditionalFormatting>
  <conditionalFormatting sqref="G100">
    <cfRule type="duplicateValues" dxfId="92" priority="94"/>
  </conditionalFormatting>
  <conditionalFormatting sqref="G58">
    <cfRule type="duplicateValues" dxfId="91" priority="79"/>
  </conditionalFormatting>
  <conditionalFormatting sqref="G77">
    <cfRule type="duplicateValues" dxfId="90" priority="97"/>
  </conditionalFormatting>
  <conditionalFormatting sqref="G131">
    <cfRule type="duplicateValues" dxfId="89" priority="90"/>
  </conditionalFormatting>
  <conditionalFormatting sqref="G132">
    <cfRule type="duplicateValues" dxfId="88" priority="89"/>
  </conditionalFormatting>
  <conditionalFormatting sqref="G106">
    <cfRule type="duplicateValues" dxfId="87" priority="80"/>
    <cfRule type="duplicateValues" dxfId="86" priority="81"/>
  </conditionalFormatting>
  <conditionalFormatting sqref="G67">
    <cfRule type="duplicateValues" dxfId="85" priority="92"/>
  </conditionalFormatting>
  <conditionalFormatting sqref="G80">
    <cfRule type="duplicateValues" dxfId="84" priority="99"/>
    <cfRule type="duplicateValues" dxfId="83" priority="100"/>
  </conditionalFormatting>
  <conditionalFormatting sqref="G103">
    <cfRule type="duplicateValues" dxfId="82" priority="101"/>
  </conditionalFormatting>
  <conditionalFormatting sqref="G91">
    <cfRule type="duplicateValues" dxfId="81" priority="77"/>
  </conditionalFormatting>
  <conditionalFormatting sqref="H91">
    <cfRule type="duplicateValues" dxfId="80" priority="78"/>
  </conditionalFormatting>
  <conditionalFormatting sqref="G81 G70 G66 G45 G12 G14">
    <cfRule type="duplicateValues" dxfId="79" priority="102"/>
  </conditionalFormatting>
  <conditionalFormatting sqref="H16 H8 H20">
    <cfRule type="duplicateValues" dxfId="78" priority="103"/>
  </conditionalFormatting>
  <conditionalFormatting sqref="H120">
    <cfRule type="duplicateValues" dxfId="77" priority="76"/>
  </conditionalFormatting>
  <conditionalFormatting sqref="G121">
    <cfRule type="duplicateValues" dxfId="76" priority="74"/>
    <cfRule type="duplicateValues" dxfId="75" priority="75"/>
  </conditionalFormatting>
  <conditionalFormatting sqref="G124">
    <cfRule type="duplicateValues" dxfId="74" priority="72"/>
    <cfRule type="duplicateValues" dxfId="73" priority="73"/>
  </conditionalFormatting>
  <conditionalFormatting sqref="G124">
    <cfRule type="duplicateValues" dxfId="72" priority="71"/>
  </conditionalFormatting>
  <conditionalFormatting sqref="G125">
    <cfRule type="duplicateValues" dxfId="71" priority="69"/>
    <cfRule type="duplicateValues" dxfId="70" priority="70"/>
  </conditionalFormatting>
  <conditionalFormatting sqref="G126">
    <cfRule type="duplicateValues" dxfId="69" priority="67"/>
    <cfRule type="duplicateValues" dxfId="68" priority="68"/>
  </conditionalFormatting>
  <conditionalFormatting sqref="G128">
    <cfRule type="duplicateValues" dxfId="67" priority="65"/>
    <cfRule type="duplicateValues" dxfId="66" priority="66"/>
  </conditionalFormatting>
  <conditionalFormatting sqref="G129">
    <cfRule type="duplicateValues" dxfId="65" priority="63"/>
    <cfRule type="duplicateValues" dxfId="64" priority="64"/>
  </conditionalFormatting>
  <conditionalFormatting sqref="G130">
    <cfRule type="duplicateValues" dxfId="63" priority="61"/>
    <cfRule type="duplicateValues" dxfId="62" priority="62"/>
  </conditionalFormatting>
  <conditionalFormatting sqref="H24">
    <cfRule type="duplicateValues" dxfId="61" priority="60"/>
  </conditionalFormatting>
  <conditionalFormatting sqref="H27">
    <cfRule type="duplicateValues" dxfId="60" priority="59"/>
  </conditionalFormatting>
  <conditionalFormatting sqref="H32">
    <cfRule type="duplicateValues" dxfId="59" priority="58"/>
  </conditionalFormatting>
  <conditionalFormatting sqref="G34">
    <cfRule type="duplicateValues" dxfId="58" priority="56"/>
  </conditionalFormatting>
  <conditionalFormatting sqref="H34:H35">
    <cfRule type="duplicateValues" dxfId="57" priority="57"/>
  </conditionalFormatting>
  <conditionalFormatting sqref="H37">
    <cfRule type="duplicateValues" dxfId="56" priority="55"/>
  </conditionalFormatting>
  <conditionalFormatting sqref="H38">
    <cfRule type="duplicateValues" dxfId="55" priority="54"/>
  </conditionalFormatting>
  <conditionalFormatting sqref="G41">
    <cfRule type="duplicateValues" dxfId="54" priority="52"/>
  </conditionalFormatting>
  <conditionalFormatting sqref="H41">
    <cfRule type="duplicateValues" dxfId="53" priority="53"/>
  </conditionalFormatting>
  <conditionalFormatting sqref="H44">
    <cfRule type="duplicateValues" dxfId="52" priority="51"/>
  </conditionalFormatting>
  <conditionalFormatting sqref="G46">
    <cfRule type="duplicateValues" dxfId="51" priority="49"/>
  </conditionalFormatting>
  <conditionalFormatting sqref="H46">
    <cfRule type="duplicateValues" dxfId="50" priority="50"/>
  </conditionalFormatting>
  <conditionalFormatting sqref="G47">
    <cfRule type="duplicateValues" dxfId="49" priority="47"/>
  </conditionalFormatting>
  <conditionalFormatting sqref="H47">
    <cfRule type="duplicateValues" dxfId="48" priority="48"/>
  </conditionalFormatting>
  <conditionalFormatting sqref="G48">
    <cfRule type="duplicateValues" dxfId="47" priority="45"/>
  </conditionalFormatting>
  <conditionalFormatting sqref="H48">
    <cfRule type="duplicateValues" dxfId="46" priority="46"/>
  </conditionalFormatting>
  <conditionalFormatting sqref="G51">
    <cfRule type="duplicateValues" dxfId="45" priority="43"/>
  </conditionalFormatting>
  <conditionalFormatting sqref="H50:H51">
    <cfRule type="duplicateValues" dxfId="44" priority="44"/>
  </conditionalFormatting>
  <conditionalFormatting sqref="G52">
    <cfRule type="duplicateValues" dxfId="43" priority="41"/>
  </conditionalFormatting>
  <conditionalFormatting sqref="H52">
    <cfRule type="duplicateValues" dxfId="42" priority="42"/>
  </conditionalFormatting>
  <conditionalFormatting sqref="H133">
    <cfRule type="duplicateValues" dxfId="41" priority="40"/>
  </conditionalFormatting>
  <conditionalFormatting sqref="H55:H57 H53">
    <cfRule type="duplicateValues" dxfId="40" priority="39"/>
  </conditionalFormatting>
  <conditionalFormatting sqref="H60">
    <cfRule type="duplicateValues" dxfId="39" priority="38"/>
  </conditionalFormatting>
  <conditionalFormatting sqref="G64">
    <cfRule type="duplicateValues" dxfId="38" priority="35"/>
  </conditionalFormatting>
  <conditionalFormatting sqref="G63">
    <cfRule type="duplicateValues" dxfId="37" priority="36"/>
  </conditionalFormatting>
  <conditionalFormatting sqref="H61:H64">
    <cfRule type="duplicateValues" dxfId="36" priority="37"/>
  </conditionalFormatting>
  <conditionalFormatting sqref="H68">
    <cfRule type="duplicateValues" dxfId="35" priority="34"/>
  </conditionalFormatting>
  <conditionalFormatting sqref="G71">
    <cfRule type="duplicateValues" dxfId="34" priority="32"/>
  </conditionalFormatting>
  <conditionalFormatting sqref="H71">
    <cfRule type="duplicateValues" dxfId="33" priority="33"/>
  </conditionalFormatting>
  <conditionalFormatting sqref="H72">
    <cfRule type="duplicateValues" dxfId="32" priority="31"/>
  </conditionalFormatting>
  <conditionalFormatting sqref="H76">
    <cfRule type="duplicateValues" dxfId="31" priority="30"/>
  </conditionalFormatting>
  <conditionalFormatting sqref="H79">
    <cfRule type="duplicateValues" dxfId="30" priority="27"/>
  </conditionalFormatting>
  <conditionalFormatting sqref="G82">
    <cfRule type="duplicateValues" dxfId="29" priority="25"/>
  </conditionalFormatting>
  <conditionalFormatting sqref="H82">
    <cfRule type="duplicateValues" dxfId="28" priority="26"/>
  </conditionalFormatting>
  <conditionalFormatting sqref="G86">
    <cfRule type="duplicateValues" dxfId="27" priority="22"/>
    <cfRule type="duplicateValues" dxfId="26" priority="23"/>
  </conditionalFormatting>
  <conditionalFormatting sqref="G87">
    <cfRule type="duplicateValues" dxfId="25" priority="20"/>
  </conditionalFormatting>
  <conditionalFormatting sqref="G89">
    <cfRule type="duplicateValues" dxfId="24" priority="19"/>
  </conditionalFormatting>
  <conditionalFormatting sqref="H87 H89">
    <cfRule type="duplicateValues" dxfId="23" priority="21"/>
  </conditionalFormatting>
  <conditionalFormatting sqref="H94">
    <cfRule type="duplicateValues" dxfId="22" priority="18"/>
  </conditionalFormatting>
  <conditionalFormatting sqref="G95">
    <cfRule type="duplicateValues" dxfId="21" priority="15"/>
  </conditionalFormatting>
  <conditionalFormatting sqref="G96">
    <cfRule type="duplicateValues" dxfId="20" priority="16"/>
  </conditionalFormatting>
  <conditionalFormatting sqref="H95:H96">
    <cfRule type="duplicateValues" dxfId="19" priority="17"/>
  </conditionalFormatting>
  <conditionalFormatting sqref="G101">
    <cfRule type="duplicateValues" dxfId="18" priority="12"/>
    <cfRule type="duplicateValues" dxfId="17" priority="13"/>
  </conditionalFormatting>
  <conditionalFormatting sqref="H101">
    <cfRule type="duplicateValues" dxfId="16" priority="14"/>
  </conditionalFormatting>
  <conditionalFormatting sqref="H105">
    <cfRule type="duplicateValues" dxfId="15" priority="11"/>
  </conditionalFormatting>
  <conditionalFormatting sqref="H108:H109">
    <cfRule type="duplicateValues" dxfId="14" priority="10"/>
  </conditionalFormatting>
  <conditionalFormatting sqref="H110">
    <cfRule type="duplicateValues" dxfId="13" priority="9"/>
  </conditionalFormatting>
  <conditionalFormatting sqref="H111">
    <cfRule type="duplicateValues" dxfId="12" priority="8"/>
  </conditionalFormatting>
  <conditionalFormatting sqref="G117">
    <cfRule type="duplicateValues" dxfId="11" priority="6"/>
  </conditionalFormatting>
  <conditionalFormatting sqref="H117:H118">
    <cfRule type="duplicateValues" dxfId="10" priority="7"/>
  </conditionalFormatting>
  <conditionalFormatting sqref="H119">
    <cfRule type="duplicateValues" dxfId="9" priority="5"/>
  </conditionalFormatting>
  <conditionalFormatting sqref="G123">
    <cfRule type="duplicateValues" dxfId="8" priority="4"/>
  </conditionalFormatting>
  <conditionalFormatting sqref="H123">
    <cfRule type="duplicateValues" dxfId="7" priority="3"/>
  </conditionalFormatting>
  <conditionalFormatting sqref="H23">
    <cfRule type="duplicateValues" dxfId="6" priority="104"/>
  </conditionalFormatting>
  <conditionalFormatting sqref="G21">
    <cfRule type="duplicateValues" dxfId="5" priority="105"/>
  </conditionalFormatting>
  <conditionalFormatting sqref="H21">
    <cfRule type="duplicateValues" dxfId="4" priority="106"/>
  </conditionalFormatting>
  <conditionalFormatting sqref="G122">
    <cfRule type="duplicateValues" dxfId="3" priority="1"/>
  </conditionalFormatting>
  <conditionalFormatting sqref="H122">
    <cfRule type="duplicateValues" dxfId="2" priority="2"/>
  </conditionalFormatting>
  <conditionalFormatting sqref="H88 H54 H25:H26 H6:H7 H9:H10 H12:H15 H17:H19 H28:H31 H33 H36 H39:H40 H42:H43 H45 H49 H131:H132 H58:H59 H65:H67 H69:H70 H73:H75 H77:H78 H80:H81 H83:H85 H134 H90 H97:H100 H102:H104 H106:H107 H112:H116 H92:H93 H127 H22">
    <cfRule type="duplicateValues" dxfId="1" priority="107"/>
  </conditionalFormatting>
  <conditionalFormatting sqref="H86">
    <cfRule type="duplicateValues" dxfId="0" priority="243"/>
  </conditionalFormatting>
  <pageMargins left="0.69972223043441772" right="0.69972223043441772" top="0.75" bottom="0.75" header="0.30000001192092896" footer="0.30000001192092896"/>
  <pageSetup paperSize="8" scale="13" fitToHeight="0"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2</vt:i4>
      </vt:variant>
      <vt:variant>
        <vt:lpstr>이름 지정된 범위</vt:lpstr>
      </vt:variant>
      <vt:variant>
        <vt:i4>1</vt:i4>
      </vt:variant>
    </vt:vector>
  </HeadingPairs>
  <TitlesOfParts>
    <vt:vector size="3" baseType="lpstr">
      <vt:lpstr>지원 전 유의사항</vt:lpstr>
      <vt:lpstr>27-1학기(정규 1차)</vt:lpstr>
      <vt:lpstr>'27-1학기(정규 1차)'!Print_Titles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박현주</cp:lastModifiedBy>
  <dcterms:created xsi:type="dcterms:W3CDTF">2026-02-09T09:09:31Z</dcterms:created>
  <dcterms:modified xsi:type="dcterms:W3CDTF">2026-07-16T07:15:18Z</dcterms:modified>
</cp:coreProperties>
</file>